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إعدادات" sheetId="1" state="visible" r:id="rId3"/>
    <sheet name="اليومية" sheetId="2" state="visible" r:id="rId4"/>
    <sheet name="الرواتب" sheetId="3" state="visible" r:id="rId5"/>
    <sheet name="الدفتر" sheetId="4" state="visible" r:id="rId6"/>
    <sheet name="قائمة الدخل" sheetId="5" state="visible" r:id="rId7"/>
    <sheet name="الضريبة" sheetId="6" state="visible" r:id="rId8"/>
    <sheet name="التحقق" sheetId="7" state="visible" r:id="rId9"/>
  </sheets>
  <definedNames>
    <definedName function="false" hidden="true" localSheetId="3" name="_xlnm._FilterDatabase" vbProcedure="false">الدفتر!$A$4:$T$38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<sst xmlns="http://schemas.openxmlformats.org/spreadsheetml/2006/main" count="808" uniqueCount="205">
  <si>
    <t xml:space="preserve">الإعدادات — القوائم ودليل الحسابات وقواعد الرواتب</t>
  </si>
  <si>
    <t xml:space="preserve">الخانات الصفراء فقط هي اللي بتتعدل — كل الشيتات التانية بتقرا منها</t>
  </si>
  <si>
    <t xml:space="preserve">أنواع مصروفات الدرج</t>
  </si>
  <si>
    <t xml:space="preserve">الموظف</t>
  </si>
  <si>
    <t xml:space="preserve">الراتب الأساسي</t>
  </si>
  <si>
    <t xml:space="preserve">بدل المواصلات</t>
  </si>
  <si>
    <t xml:space="preserve">الكود</t>
  </si>
  <si>
    <t xml:space="preserve">الحساب</t>
  </si>
  <si>
    <t xml:space="preserve">التصنيف العام</t>
  </si>
  <si>
    <t xml:space="preserve">الطبيعة</t>
  </si>
  <si>
    <t xml:space="preserve">القائمة</t>
  </si>
  <si>
    <t xml:space="preserve">القاعدة</t>
  </si>
  <si>
    <t xml:space="preserve">القيمة</t>
  </si>
  <si>
    <t xml:space="preserve">سلفة</t>
  </si>
  <si>
    <t xml:space="preserve">أحمد</t>
  </si>
  <si>
    <t xml:space="preserve">مبيعات الخدمات</t>
  </si>
  <si>
    <t xml:space="preserve">الإيرادات</t>
  </si>
  <si>
    <t xml:space="preserve">إيراد</t>
  </si>
  <si>
    <t xml:space="preserve">قائمة الدخل</t>
  </si>
  <si>
    <t xml:space="preserve">نسبة ضريبة القيمة المضافة</t>
  </si>
  <si>
    <t xml:space="preserve">مستلزمات</t>
  </si>
  <si>
    <t xml:space="preserve">خالد</t>
  </si>
  <si>
    <t xml:space="preserve">الرواتب والبدلات</t>
  </si>
  <si>
    <t xml:space="preserve">مصاريف الموظفين</t>
  </si>
  <si>
    <t xml:space="preserve">مصروف</t>
  </si>
  <si>
    <t xml:space="preserve">حد بداية العمولة (ريال مبيعات)</t>
  </si>
  <si>
    <t xml:space="preserve">مواصلات</t>
  </si>
  <si>
    <t xml:space="preserve">يوسف</t>
  </si>
  <si>
    <t xml:space="preserve">العمولات والحوافز</t>
  </si>
  <si>
    <t xml:space="preserve">نسبة العمولة فوق الحد</t>
  </si>
  <si>
    <t xml:space="preserve">ضيافة</t>
  </si>
  <si>
    <t xml:space="preserve">سامي</t>
  </si>
  <si>
    <t xml:space="preserve">تكاليف الموظفين (تأشيرات وتأمين)</t>
  </si>
  <si>
    <t xml:space="preserve">تارجت مكافأة المبيعات</t>
  </si>
  <si>
    <t xml:space="preserve">فارس</t>
  </si>
  <si>
    <t xml:space="preserve">الإيجار</t>
  </si>
  <si>
    <t xml:space="preserve">مصاريف الفرع</t>
  </si>
  <si>
    <t xml:space="preserve">قيمة مكافأة التارجت</t>
  </si>
  <si>
    <t xml:space="preserve">ماجد</t>
  </si>
  <si>
    <t xml:space="preserve">الكهرباء والمياه</t>
  </si>
  <si>
    <t xml:space="preserve">سعر ساعة الأوفر تايم</t>
  </si>
  <si>
    <t xml:space="preserve">المستلزمات والأدوات</t>
  </si>
  <si>
    <t xml:space="preserve">مصاريف التشغيل</t>
  </si>
  <si>
    <t xml:space="preserve">أيام الشهر لحساب اليومية</t>
  </si>
  <si>
    <t xml:space="preserve">الصيانة والإصلاحات</t>
  </si>
  <si>
    <t xml:space="preserve">التسويق</t>
  </si>
  <si>
    <t xml:space="preserve">رسوم بوابات الدفع</t>
  </si>
  <si>
    <t xml:space="preserve">مصروفات نثرية من الدرج</t>
  </si>
  <si>
    <t xml:space="preserve">ضريبة القيمة المضافة المسددة</t>
  </si>
  <si>
    <t xml:space="preserve">الالتزامات</t>
  </si>
  <si>
    <t xml:space="preserve">تسوية</t>
  </si>
  <si>
    <t xml:space="preserve">المركز المالي</t>
  </si>
  <si>
    <t xml:space="preserve">اليومية — مبيعات ومصروفات الدرج ومطابقة الكاش</t>
  </si>
  <si>
    <t xml:space="preserve">الكاشير بيدخل الخانات الصفراء بس — الإجماليات والمطابقة والصافي محسوبين</t>
  </si>
  <si>
    <t xml:space="preserve">اليوم</t>
  </si>
  <si>
    <t xml:space="preserve">مصروفات من الدرج</t>
  </si>
  <si>
    <t xml:space="preserve">المبيعات حسب طريقة الدفع (من النظام)</t>
  </si>
  <si>
    <t xml:space="preserve">مطابقة الفعلي</t>
  </si>
  <si>
    <t xml:space="preserve">التاريخ</t>
  </si>
  <si>
    <t xml:space="preserve">الشهر</t>
  </si>
  <si>
    <t xml:space="preserve">نوع 1</t>
  </si>
  <si>
    <t xml:space="preserve">الموظف 1</t>
  </si>
  <si>
    <t xml:space="preserve">القيمة 1</t>
  </si>
  <si>
    <t xml:space="preserve">نوع 2</t>
  </si>
  <si>
    <t xml:space="preserve">الموظف 2</t>
  </si>
  <si>
    <t xml:space="preserve">القيمة 2</t>
  </si>
  <si>
    <t xml:space="preserve">نوع 3</t>
  </si>
  <si>
    <t xml:space="preserve">الموظف 3</t>
  </si>
  <si>
    <t xml:space="preserve">القيمة 3</t>
  </si>
  <si>
    <t xml:space="preserve">نوع 4</t>
  </si>
  <si>
    <t xml:space="preserve">الموظف 4</t>
  </si>
  <si>
    <t xml:space="preserve">القيمة 4</t>
  </si>
  <si>
    <t xml:space="preserve">إجمالي المصروفات</t>
  </si>
  <si>
    <t xml:space="preserve">الشبكة</t>
  </si>
  <si>
    <t xml:space="preserve">الكاش</t>
  </si>
  <si>
    <t xml:space="preserve">الأونلاين</t>
  </si>
  <si>
    <t xml:space="preserve">تابي</t>
  </si>
  <si>
    <t xml:space="preserve">تمارا</t>
  </si>
  <si>
    <t xml:space="preserve">إجمالي المبيعات</t>
  </si>
  <si>
    <t xml:space="preserve">الشبكة الفعلي</t>
  </si>
  <si>
    <t xml:space="preserve">الكاش الفعلي</t>
  </si>
  <si>
    <t xml:space="preserve">فرق الشبكة</t>
  </si>
  <si>
    <t xml:space="preserve">فرق الكاش</t>
  </si>
  <si>
    <t xml:space="preserve">الحالة</t>
  </si>
  <si>
    <t xml:space="preserve">صافي اليوم</t>
  </si>
  <si>
    <t xml:space="preserve">الأربعاء</t>
  </si>
  <si>
    <t xml:space="preserve">يوليو 2026</t>
  </si>
  <si>
    <t xml:space="preserve">الخميس</t>
  </si>
  <si>
    <t xml:space="preserve">الجمعة</t>
  </si>
  <si>
    <t xml:space="preserve">السبت</t>
  </si>
  <si>
    <t xml:space="preserve">الأحد</t>
  </si>
  <si>
    <t xml:space="preserve">الاثنين</t>
  </si>
  <si>
    <t xml:space="preserve">الثلاثاء</t>
  </si>
  <si>
    <t xml:space="preserve">أغسطس 2026</t>
  </si>
  <si>
    <t xml:space="preserve">سبتمبر 2026</t>
  </si>
  <si>
    <t xml:space="preserve">الإجمالي</t>
  </si>
  <si>
    <t xml:space="preserve">الرواتب الشهرية</t>
  </si>
  <si>
    <t xml:space="preserve">العمولة والمكافأة والأوفر تايم من قواعد الإعدادات — السلف بتتسحب أوتوماتيك من اليومية</t>
  </si>
  <si>
    <t xml:space="preserve">السنة</t>
  </si>
  <si>
    <t xml:space="preserve">الأساسي</t>
  </si>
  <si>
    <t xml:space="preserve">المواصلات</t>
  </si>
  <si>
    <t xml:space="preserve">مبيعات الموظف</t>
  </si>
  <si>
    <t xml:space="preserve">العمولة</t>
  </si>
  <si>
    <t xml:space="preserve">مكافأة التارجت</t>
  </si>
  <si>
    <t xml:space="preserve">ساعات أوفر تايم</t>
  </si>
  <si>
    <t xml:space="preserve">بدل الأوفر تايم</t>
  </si>
  <si>
    <t xml:space="preserve">تسوية يدوية</t>
  </si>
  <si>
    <t xml:space="preserve">إجمالي المستحقات</t>
  </si>
  <si>
    <t xml:space="preserve">أيام غياب</t>
  </si>
  <si>
    <t xml:space="preserve">خصم الغياب</t>
  </si>
  <si>
    <t xml:space="preserve">سلف من الدرج</t>
  </si>
  <si>
    <t xml:space="preserve">إجمالي الخصومات</t>
  </si>
  <si>
    <t xml:space="preserve">صافي الراتب</t>
  </si>
  <si>
    <t xml:space="preserve">الدفتر — كل الحركات بدليل حسابات مكوّد</t>
  </si>
  <si>
    <t xml:space="preserve">الصفوف الملوّنة قيود آلية من اليومية والرواتب — الكود والتصنيف والضريبة محسوبين لكل سطر</t>
  </si>
  <si>
    <t xml:space="preserve">البيان</t>
  </si>
  <si>
    <t xml:space="preserve">المورد / الجهة</t>
  </si>
  <si>
    <t xml:space="preserve">الرقم الضريبي</t>
  </si>
  <si>
    <t xml:space="preserve">وارد</t>
  </si>
  <si>
    <t xml:space="preserve">منصرف</t>
  </si>
  <si>
    <t xml:space="preserve">الحساب النقدي</t>
  </si>
  <si>
    <t xml:space="preserve">خاضع؟</t>
  </si>
  <si>
    <t xml:space="preserve">ربع الإقرار</t>
  </si>
  <si>
    <t xml:space="preserve">المصدر</t>
  </si>
  <si>
    <t xml:space="preserve">الربع</t>
  </si>
  <si>
    <t xml:space="preserve">ضريبة المخرجات</t>
  </si>
  <si>
    <t xml:space="preserve">ضريبة المدخلات</t>
  </si>
  <si>
    <t xml:space="preserve">الصافي قبل الضريبة</t>
  </si>
  <si>
    <t xml:space="preserve">إيجار الشهر — قسط من الدفعة النصف سنوية</t>
  </si>
  <si>
    <t xml:space="preserve">شركة الأفق العقارية</t>
  </si>
  <si>
    <t xml:space="preserve">300112233400003</t>
  </si>
  <si>
    <t xml:space="preserve">البنك</t>
  </si>
  <si>
    <t xml:space="preserve">استحقاق شهري</t>
  </si>
  <si>
    <t xml:space="preserve">فاتورة كهرباء ومياه</t>
  </si>
  <si>
    <t xml:space="preserve">شركة الكهرباء</t>
  </si>
  <si>
    <t xml:space="preserve">300000000100003</t>
  </si>
  <si>
    <t xml:space="preserve">إدخال يدوي</t>
  </si>
  <si>
    <t xml:space="preserve">شراء مستلزمات ومنتجات</t>
  </si>
  <si>
    <t xml:space="preserve">شركة الإمداد التجارية</t>
  </si>
  <si>
    <t xml:space="preserve">300554433200003</t>
  </si>
  <si>
    <t xml:space="preserve">مؤسسة النخبة للمستلزمات</t>
  </si>
  <si>
    <t xml:space="preserve">300998877600003</t>
  </si>
  <si>
    <t xml:space="preserve">حملة إعلانية على السوشيال</t>
  </si>
  <si>
    <t xml:space="preserve">وكالة ومضة</t>
  </si>
  <si>
    <t xml:space="preserve">300776655400003</t>
  </si>
  <si>
    <t xml:space="preserve">عمولة بوابات الدفع</t>
  </si>
  <si>
    <t xml:space="preserve">بنك محلي</t>
  </si>
  <si>
    <t xml:space="preserve">إيرادات يوليو 2026 — من اليومية</t>
  </si>
  <si>
    <t xml:space="preserve">قيد آلي — اليومية</t>
  </si>
  <si>
    <t xml:space="preserve">نثريات الدرج يوليو 2026 (بدون السلف)</t>
  </si>
  <si>
    <t xml:space="preserve">رواتب وبدلات يوليو 2026</t>
  </si>
  <si>
    <t xml:space="preserve">قيد آلي — الرواتب</t>
  </si>
  <si>
    <t xml:space="preserve">عمولات وحوافز يوليو 2026</t>
  </si>
  <si>
    <t xml:space="preserve">صيانة مكيفات</t>
  </si>
  <si>
    <t xml:space="preserve">ورشة التبريد</t>
  </si>
  <si>
    <t xml:space="preserve">تجديد تأمين طبي — موظفين</t>
  </si>
  <si>
    <t xml:space="preserve">شركة التأمين</t>
  </si>
  <si>
    <t xml:space="preserve">إيرادات أغسطس 2026 — من اليومية</t>
  </si>
  <si>
    <t xml:space="preserve">نثريات الدرج أغسطس 2026 (بدون السلف)</t>
  </si>
  <si>
    <t xml:space="preserve">رواتب وبدلات أغسطس 2026</t>
  </si>
  <si>
    <t xml:space="preserve">عمولات وحوافز أغسطس 2026</t>
  </si>
  <si>
    <t xml:space="preserve">رسوم تأشيرة موظف جديد</t>
  </si>
  <si>
    <t xml:space="preserve">منصة حكومية</t>
  </si>
  <si>
    <t xml:space="preserve">دفعة أولى من ضريبة الربع الثالث</t>
  </si>
  <si>
    <t xml:space="preserve">هيئة الزكاة والضريبة</t>
  </si>
  <si>
    <t xml:space="preserve">2026-Q3</t>
  </si>
  <si>
    <t xml:space="preserve">سداد على دفعات</t>
  </si>
  <si>
    <t xml:space="preserve">إيرادات سبتمبر 2026 — من اليومية</t>
  </si>
  <si>
    <t xml:space="preserve">نثريات الدرج سبتمبر 2026 (بدون السلف)</t>
  </si>
  <si>
    <t xml:space="preserve">رواتب وبدلات سبتمبر 2026</t>
  </si>
  <si>
    <t xml:space="preserve">عمولات وحوافز سبتمبر 2026</t>
  </si>
  <si>
    <t xml:space="preserve">قائمة الدخل — الربع الثالث 2026</t>
  </si>
  <si>
    <t xml:space="preserve">صافي قبل الضريبة — بتتحدث أوتوماتيك من الدفتر</t>
  </si>
  <si>
    <t xml:space="preserve">البند</t>
  </si>
  <si>
    <t xml:space="preserve">يوليو</t>
  </si>
  <si>
    <t xml:space="preserve">أغسطس</t>
  </si>
  <si>
    <t xml:space="preserve">سبتمبر</t>
  </si>
  <si>
    <t xml:space="preserve">إجمالي الإيرادات</t>
  </si>
  <si>
    <t xml:space="preserve">صافي الربح</t>
  </si>
  <si>
    <t xml:space="preserve">هامش صافي الربح</t>
  </si>
  <si>
    <t xml:space="preserve">ضريبة القيمة المضافة — الربع الثالث 2026</t>
  </si>
  <si>
    <t xml:space="preserve">15% محسوبة على كل سطر في الدفتر — والمتبقي بيظهر كالتزام لحد ما يتسدد</t>
  </si>
  <si>
    <t xml:space="preserve">الفترة</t>
  </si>
  <si>
    <t xml:space="preserve">المبيعات الخاضعة</t>
  </si>
  <si>
    <t xml:space="preserve">المشتريات الخاضعة</t>
  </si>
  <si>
    <t xml:space="preserve">صافي المستحق</t>
  </si>
  <si>
    <t xml:space="preserve">إجمالي الربع</t>
  </si>
  <si>
    <t xml:space="preserve">الإقرار</t>
  </si>
  <si>
    <t xml:space="preserve">المستحق</t>
  </si>
  <si>
    <t xml:space="preserve">المسدد</t>
  </si>
  <si>
    <t xml:space="preserve">المتبقي (التزام)</t>
  </si>
  <si>
    <t xml:space="preserve">التحقق — فحوصات قبل اعتماد أي تقرير</t>
  </si>
  <si>
    <t xml:space="preserve">✓ = سليم   •   ⚠ = يحتاج مراجعة</t>
  </si>
  <si>
    <t xml:space="preserve">الفحص</t>
  </si>
  <si>
    <t xml:space="preserve">القيمة الأولى</t>
  </si>
  <si>
    <t xml:space="preserve">القيمة التانية</t>
  </si>
  <si>
    <t xml:space="preserve">الفرق</t>
  </si>
  <si>
    <t xml:space="preserve">النتيجة</t>
  </si>
  <si>
    <t xml:space="preserve">مبيعات اليومية = إيرادات الدفتر</t>
  </si>
  <si>
    <t xml:space="preserve">مستحقات الرواتب − خصم الغياب = رواتب وحوافز الدفتر</t>
  </si>
  <si>
    <t xml:space="preserve">مصروفات الدرج = السلف + النثريات في الدفتر</t>
  </si>
  <si>
    <t xml:space="preserve">حسابات غير معرفة في دليل الحسابات</t>
  </si>
  <si>
    <t xml:space="preserve">صافي الربح في القائمة = صافي الدفتر</t>
  </si>
  <si>
    <t xml:space="preserve">الضريبة المستحقة = المخرجات − المدخلات</t>
  </si>
  <si>
    <t xml:space="preserve">أيام فيها فرق كاش أو شبكة (للمراجعة)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</si>
</sst>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;\-"/>
    <numFmt numFmtId="166" formatCode="0.0%"/>
    <numFmt numFmtId="167" formatCode="#,##0;\(#,##0\);\-"/>
    <numFmt numFmtId="168" formatCode="yyyy/mm/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4A565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1F6F63"/>
      <name val="Arial"/>
      <family val="0"/>
      <charset val="1"/>
    </font>
    <font>
      <sz val="8"/>
      <color rgb="FF9AA5A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63"/>
        <bgColor rgb="FF008080"/>
      </patternFill>
    </fill>
    <fill>
      <patternFill patternType="solid">
        <fgColor rgb="FF3FA796"/>
        <bgColor rgb="FF33CCCC"/>
      </patternFill>
    </fill>
    <fill>
      <patternFill patternType="solid">
        <fgColor rgb="FFFFF8E1"/>
        <bgColor rgb="FFFDECEA"/>
      </patternFill>
    </fill>
    <fill>
      <patternFill patternType="solid">
        <fgColor rgb="FFE6F4F1"/>
        <bgColor rgb="FFD7EEE9"/>
      </patternFill>
    </fill>
    <fill>
      <patternFill patternType="solid">
        <fgColor rgb="FFD7EEE9"/>
        <bgColor rgb="FFE6F4F1"/>
      </patternFill>
    </fill>
    <fill>
      <patternFill patternType="solid">
        <fgColor rgb="FFFDECEA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DC"/>
      </left>
      <right style="thin">
        <color rgb="FFD5DEDC"/>
      </right>
      <top style="thin">
        <color rgb="FFD5DEDC"/>
      </top>
      <bottom style="thin">
        <color rgb="FFD5DE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FA796"/>
          <bgColor rgb="FF000000"/>
        </patternFill>
      </fill>
    </dxf>
    <dxf>
      <fill>
        <patternFill patternType="solid">
          <fgColor rgb="FFE6F4F1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3"/>
      <rgbColor rgb="FFC0C0C0"/>
      <rgbColor rgb="FF808080"/>
      <rgbColor rgb="FF9999FF"/>
      <rgbColor rgb="FF993366"/>
      <rgbColor rgb="FFFFF8E1"/>
      <rgbColor rgb="FFD7EEE9"/>
      <rgbColor rgb="FF660066"/>
      <rgbColor rgb="FFFF8080"/>
      <rgbColor rgb="FF0066CC"/>
      <rgbColor rgb="FFD5DE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F1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653"/>
      <rgbColor rgb="FF9AA5A2"/>
      <rgbColor rgb="FF003366"/>
      <rgbColor rgb="FF3FA79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5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3"/>
    <col collapsed="false" customWidth="true" hidden="false" outlineLevel="0" max="7" min="7" style="0" width="9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3"/>
    <col collapsed="false" customWidth="true" hidden="false" outlineLevel="0" max="13" min="13" style="0" width="24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1.5" hidden="false" customHeight="true" outlineLevel="0" collapsed="false">
      <c r="A3" s="3" t="s">
        <v>2</v>
      </c>
      <c r="C3" s="3" t="s">
        <v>3</v>
      </c>
      <c r="D3" s="3" t="s">
        <v>4</v>
      </c>
      <c r="E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M3" s="3" t="s">
        <v>11</v>
      </c>
      <c r="N3" s="3" t="s">
        <v>12</v>
      </c>
    </row>
    <row r="4" customFormat="false" ht="15" hidden="false" customHeight="false" outlineLevel="0" collapsed="false">
      <c r="A4" s="4" t="s">
        <v>13</v>
      </c>
      <c r="C4" s="4" t="s">
        <v>14</v>
      </c>
      <c r="D4" s="5" t="n">
        <v>3000</v>
      </c>
      <c r="E4" s="5" t="n">
        <v>300</v>
      </c>
      <c r="G4" s="4" t="n">
        <v>4100</v>
      </c>
      <c r="H4" s="4" t="s">
        <v>15</v>
      </c>
      <c r="I4" s="4" t="s">
        <v>16</v>
      </c>
      <c r="J4" s="4" t="s">
        <v>17</v>
      </c>
      <c r="K4" s="4" t="s">
        <v>18</v>
      </c>
      <c r="M4" s="6" t="s">
        <v>19</v>
      </c>
      <c r="N4" s="7" t="n">
        <v>0.15</v>
      </c>
    </row>
    <row r="5" customFormat="false" ht="15" hidden="false" customHeight="false" outlineLevel="0" collapsed="false">
      <c r="A5" s="4" t="s">
        <v>20</v>
      </c>
      <c r="C5" s="4" t="s">
        <v>21</v>
      </c>
      <c r="D5" s="5" t="n">
        <v>2800</v>
      </c>
      <c r="E5" s="5" t="n">
        <v>300</v>
      </c>
      <c r="G5" s="4" t="n">
        <v>5100</v>
      </c>
      <c r="H5" s="4" t="s">
        <v>22</v>
      </c>
      <c r="I5" s="4" t="s">
        <v>23</v>
      </c>
      <c r="J5" s="4" t="s">
        <v>24</v>
      </c>
      <c r="K5" s="4" t="s">
        <v>18</v>
      </c>
      <c r="M5" s="6" t="s">
        <v>25</v>
      </c>
      <c r="N5" s="5" t="n">
        <v>3000</v>
      </c>
    </row>
    <row r="6" customFormat="false" ht="15" hidden="false" customHeight="false" outlineLevel="0" collapsed="false">
      <c r="A6" s="4" t="s">
        <v>26</v>
      </c>
      <c r="C6" s="4" t="s">
        <v>27</v>
      </c>
      <c r="D6" s="5" t="n">
        <v>2800</v>
      </c>
      <c r="E6" s="5" t="n">
        <v>300</v>
      </c>
      <c r="G6" s="4" t="n">
        <v>5110</v>
      </c>
      <c r="H6" s="4" t="s">
        <v>28</v>
      </c>
      <c r="I6" s="4" t="s">
        <v>23</v>
      </c>
      <c r="J6" s="4" t="s">
        <v>24</v>
      </c>
      <c r="K6" s="4" t="s">
        <v>18</v>
      </c>
      <c r="M6" s="6" t="s">
        <v>29</v>
      </c>
      <c r="N6" s="7" t="n">
        <v>0.3</v>
      </c>
    </row>
    <row r="7" customFormat="false" ht="15" hidden="false" customHeight="false" outlineLevel="0" collapsed="false">
      <c r="A7" s="4" t="s">
        <v>30</v>
      </c>
      <c r="C7" s="4" t="s">
        <v>31</v>
      </c>
      <c r="D7" s="5" t="n">
        <v>2500</v>
      </c>
      <c r="E7" s="5" t="n">
        <v>250</v>
      </c>
      <c r="G7" s="4" t="n">
        <v>5120</v>
      </c>
      <c r="H7" s="4" t="s">
        <v>32</v>
      </c>
      <c r="I7" s="4" t="s">
        <v>23</v>
      </c>
      <c r="J7" s="4" t="s">
        <v>24</v>
      </c>
      <c r="K7" s="4" t="s">
        <v>18</v>
      </c>
      <c r="M7" s="6" t="s">
        <v>33</v>
      </c>
      <c r="N7" s="5" t="n">
        <v>10000</v>
      </c>
    </row>
    <row r="8" customFormat="false" ht="15" hidden="false" customHeight="false" outlineLevel="0" collapsed="false">
      <c r="C8" s="4" t="s">
        <v>34</v>
      </c>
      <c r="D8" s="5" t="n">
        <v>2500</v>
      </c>
      <c r="E8" s="5" t="n">
        <v>250</v>
      </c>
      <c r="G8" s="4" t="n">
        <v>5200</v>
      </c>
      <c r="H8" s="4" t="s">
        <v>35</v>
      </c>
      <c r="I8" s="4" t="s">
        <v>36</v>
      </c>
      <c r="J8" s="4" t="s">
        <v>24</v>
      </c>
      <c r="K8" s="4" t="s">
        <v>18</v>
      </c>
      <c r="M8" s="6" t="s">
        <v>37</v>
      </c>
      <c r="N8" s="5" t="n">
        <v>300</v>
      </c>
    </row>
    <row r="9" customFormat="false" ht="15" hidden="false" customHeight="false" outlineLevel="0" collapsed="false">
      <c r="C9" s="4" t="s">
        <v>38</v>
      </c>
      <c r="D9" s="5" t="n">
        <v>2200</v>
      </c>
      <c r="E9" s="5" t="n">
        <v>200</v>
      </c>
      <c r="G9" s="4" t="n">
        <v>5210</v>
      </c>
      <c r="H9" s="4" t="s">
        <v>39</v>
      </c>
      <c r="I9" s="4" t="s">
        <v>36</v>
      </c>
      <c r="J9" s="4" t="s">
        <v>24</v>
      </c>
      <c r="K9" s="4" t="s">
        <v>18</v>
      </c>
      <c r="M9" s="6" t="s">
        <v>40</v>
      </c>
      <c r="N9" s="5" t="n">
        <v>20</v>
      </c>
    </row>
    <row r="10" customFormat="false" ht="15" hidden="false" customHeight="false" outlineLevel="0" collapsed="false">
      <c r="G10" s="4" t="n">
        <v>5220</v>
      </c>
      <c r="H10" s="4" t="s">
        <v>41</v>
      </c>
      <c r="I10" s="4" t="s">
        <v>42</v>
      </c>
      <c r="J10" s="4" t="s">
        <v>24</v>
      </c>
      <c r="K10" s="4" t="s">
        <v>18</v>
      </c>
      <c r="M10" s="6" t="s">
        <v>43</v>
      </c>
      <c r="N10" s="8" t="n">
        <v>30</v>
      </c>
    </row>
    <row r="11" customFormat="false" ht="15" hidden="false" customHeight="false" outlineLevel="0" collapsed="false">
      <c r="G11" s="4" t="n">
        <v>5230</v>
      </c>
      <c r="H11" s="4" t="s">
        <v>44</v>
      </c>
      <c r="I11" s="4" t="s">
        <v>36</v>
      </c>
      <c r="J11" s="4" t="s">
        <v>24</v>
      </c>
      <c r="K11" s="4" t="s">
        <v>18</v>
      </c>
    </row>
    <row r="12" customFormat="false" ht="15" hidden="false" customHeight="false" outlineLevel="0" collapsed="false">
      <c r="G12" s="4" t="n">
        <v>5300</v>
      </c>
      <c r="H12" s="4" t="s">
        <v>45</v>
      </c>
      <c r="I12" s="4" t="s">
        <v>42</v>
      </c>
      <c r="J12" s="4" t="s">
        <v>24</v>
      </c>
      <c r="K12" s="4" t="s">
        <v>18</v>
      </c>
    </row>
    <row r="13" customFormat="false" ht="15" hidden="false" customHeight="false" outlineLevel="0" collapsed="false">
      <c r="G13" s="4" t="n">
        <v>5400</v>
      </c>
      <c r="H13" s="4" t="s">
        <v>46</v>
      </c>
      <c r="I13" s="4" t="s">
        <v>42</v>
      </c>
      <c r="J13" s="4" t="s">
        <v>24</v>
      </c>
      <c r="K13" s="4" t="s">
        <v>18</v>
      </c>
    </row>
    <row r="14" customFormat="false" ht="15" hidden="false" customHeight="false" outlineLevel="0" collapsed="false">
      <c r="G14" s="4" t="n">
        <v>5900</v>
      </c>
      <c r="H14" s="4" t="s">
        <v>47</v>
      </c>
      <c r="I14" s="4" t="s">
        <v>42</v>
      </c>
      <c r="J14" s="4" t="s">
        <v>24</v>
      </c>
      <c r="K14" s="4" t="s">
        <v>18</v>
      </c>
    </row>
    <row r="15" customFormat="false" ht="15" hidden="false" customHeight="false" outlineLevel="0" collapsed="false">
      <c r="G15" s="4" t="n">
        <v>2300</v>
      </c>
      <c r="H15" s="4" t="s">
        <v>48</v>
      </c>
      <c r="I15" s="4" t="s">
        <v>49</v>
      </c>
      <c r="J15" s="4" t="s">
        <v>50</v>
      </c>
      <c r="K15" s="4" t="s">
        <v>51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9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15" min="4" style="0" width="9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9" min="18" style="0" width="9"/>
    <col collapsed="false" customWidth="true" hidden="false" outlineLevel="0" max="21" min="20" style="0" width="8"/>
    <col collapsed="false" customWidth="true" hidden="false" outlineLevel="0" max="22" min="22" style="0" width="11"/>
    <col collapsed="false" customWidth="true" hidden="false" outlineLevel="0" max="23" min="23" style="0" width="10"/>
    <col collapsed="false" customWidth="true" hidden="false" outlineLevel="0" max="24" min="24" style="0" width="9"/>
    <col collapsed="false" customWidth="true" hidden="false" outlineLevel="0" max="26" min="25" style="0" width="8"/>
    <col collapsed="false" customWidth="true" hidden="false" outlineLevel="0" max="27" min="27" style="0" width="9"/>
    <col collapsed="false" customWidth="true" hidden="false" outlineLevel="0" max="28" min="28" style="0" width="11"/>
  </cols>
  <sheetData>
    <row r="1" customFormat="false" ht="30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" hidden="false" customHeight="true" outlineLevel="0" collapsed="false">
      <c r="A2" s="2" t="s">
        <v>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5" hidden="false" customHeight="true" outlineLevel="0" collapsed="false">
      <c r="A3" s="9" t="s">
        <v>54</v>
      </c>
      <c r="B3" s="9"/>
      <c r="C3" s="9"/>
      <c r="D3" s="9" t="s">
        <v>55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 t="s">
        <v>56</v>
      </c>
      <c r="R3" s="9"/>
      <c r="S3" s="9"/>
      <c r="T3" s="9"/>
      <c r="U3" s="9"/>
      <c r="V3" s="9"/>
      <c r="W3" s="9" t="s">
        <v>57</v>
      </c>
      <c r="X3" s="9"/>
      <c r="Y3" s="9"/>
      <c r="Z3" s="9"/>
      <c r="AA3" s="9"/>
      <c r="AB3" s="10"/>
    </row>
    <row r="4" customFormat="false" ht="31.5" hidden="false" customHeight="true" outlineLevel="0" collapsed="false">
      <c r="A4" s="3" t="s">
        <v>58</v>
      </c>
      <c r="B4" s="3" t="s">
        <v>54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  <c r="M4" s="3" t="s">
        <v>69</v>
      </c>
      <c r="N4" s="3" t="s">
        <v>70</v>
      </c>
      <c r="O4" s="3" t="s">
        <v>71</v>
      </c>
      <c r="P4" s="3" t="s">
        <v>72</v>
      </c>
      <c r="Q4" s="3" t="s">
        <v>73</v>
      </c>
      <c r="R4" s="3" t="s">
        <v>74</v>
      </c>
      <c r="S4" s="3" t="s">
        <v>75</v>
      </c>
      <c r="T4" s="3" t="s">
        <v>76</v>
      </c>
      <c r="U4" s="3" t="s">
        <v>77</v>
      </c>
      <c r="V4" s="3" t="s">
        <v>78</v>
      </c>
      <c r="W4" s="3" t="s">
        <v>79</v>
      </c>
      <c r="X4" s="3" t="s">
        <v>80</v>
      </c>
      <c r="Y4" s="3" t="s">
        <v>81</v>
      </c>
      <c r="Z4" s="3" t="s">
        <v>82</v>
      </c>
      <c r="AA4" s="3" t="s">
        <v>83</v>
      </c>
      <c r="AB4" s="3" t="s">
        <v>84</v>
      </c>
    </row>
    <row r="5" customFormat="false" ht="15" hidden="false" customHeight="false" outlineLevel="0" collapsed="false">
      <c r="A5" s="11" t="n">
        <v>46204</v>
      </c>
      <c r="B5" s="12" t="s">
        <v>85</v>
      </c>
      <c r="C5" s="12" t="s">
        <v>86</v>
      </c>
      <c r="D5" s="4" t="s">
        <v>20</v>
      </c>
      <c r="E5" s="4"/>
      <c r="F5" s="5" t="n">
        <v>50</v>
      </c>
      <c r="G5" s="4" t="s">
        <v>26</v>
      </c>
      <c r="H5" s="4"/>
      <c r="I5" s="5" t="n">
        <v>58</v>
      </c>
      <c r="J5" s="4" t="s">
        <v>26</v>
      </c>
      <c r="K5" s="4"/>
      <c r="L5" s="5" t="n">
        <v>31</v>
      </c>
      <c r="M5" s="4"/>
      <c r="N5" s="4"/>
      <c r="O5" s="5"/>
      <c r="P5" s="13" t="n">
        <f aca="false">F5+I5+L5+O5</f>
        <v>139</v>
      </c>
      <c r="Q5" s="5" t="n">
        <v>1991</v>
      </c>
      <c r="R5" s="5" t="n">
        <v>877</v>
      </c>
      <c r="S5" s="5"/>
      <c r="T5" s="5" t="n">
        <v>350</v>
      </c>
      <c r="U5" s="5" t="n">
        <v>257</v>
      </c>
      <c r="V5" s="13" t="n">
        <f aca="false">SUM(Q5:U5)</f>
        <v>3475</v>
      </c>
      <c r="W5" s="5" t="n">
        <v>1991</v>
      </c>
      <c r="X5" s="5" t="n">
        <v>738</v>
      </c>
      <c r="Y5" s="14" t="n">
        <f aca="false">W5-Q5</f>
        <v>0</v>
      </c>
      <c r="Z5" s="14" t="n">
        <f aca="false">X5-(R5-P5)</f>
        <v>0</v>
      </c>
      <c r="AA5" s="12" t="str">
        <f aca="false">IF(AND(Y5=0,Z5=0),"مطابق",IF(Y5+Z5&gt;0,"زيادة","عجز"))</f>
        <v>مطابق</v>
      </c>
      <c r="AB5" s="13" t="n">
        <f aca="false">V5-P5</f>
        <v>3336</v>
      </c>
    </row>
    <row r="6" customFormat="false" ht="15" hidden="false" customHeight="false" outlineLevel="0" collapsed="false">
      <c r="A6" s="11" t="n">
        <v>46205</v>
      </c>
      <c r="B6" s="12" t="s">
        <v>87</v>
      </c>
      <c r="C6" s="12" t="s">
        <v>86</v>
      </c>
      <c r="D6" s="4" t="s">
        <v>26</v>
      </c>
      <c r="E6" s="4"/>
      <c r="F6" s="5" t="n">
        <v>44</v>
      </c>
      <c r="G6" s="4"/>
      <c r="H6" s="4"/>
      <c r="I6" s="5"/>
      <c r="J6" s="4"/>
      <c r="K6" s="4"/>
      <c r="L6" s="5"/>
      <c r="M6" s="4"/>
      <c r="N6" s="4"/>
      <c r="O6" s="5"/>
      <c r="P6" s="13" t="n">
        <f aca="false">F6+I6+L6+O6</f>
        <v>44</v>
      </c>
      <c r="Q6" s="5" t="n">
        <v>3807</v>
      </c>
      <c r="R6" s="5" t="n">
        <v>1437</v>
      </c>
      <c r="S6" s="5" t="n">
        <v>110</v>
      </c>
      <c r="T6" s="5" t="n">
        <v>196</v>
      </c>
      <c r="U6" s="5"/>
      <c r="V6" s="13" t="n">
        <f aca="false">SUM(Q6:U6)</f>
        <v>5550</v>
      </c>
      <c r="W6" s="5" t="n">
        <v>3807</v>
      </c>
      <c r="X6" s="5" t="n">
        <v>1410</v>
      </c>
      <c r="Y6" s="14" t="n">
        <f aca="false">W6-Q6</f>
        <v>0</v>
      </c>
      <c r="Z6" s="14" t="n">
        <f aca="false">X6-(R6-P6)</f>
        <v>17</v>
      </c>
      <c r="AA6" s="12" t="str">
        <f aca="false">IF(AND(Y6=0,Z6=0),"مطابق",IF(Y6+Z6&gt;0,"زيادة","عجز"))</f>
        <v>زيادة</v>
      </c>
      <c r="AB6" s="13" t="n">
        <f aca="false">V6-P6</f>
        <v>5506</v>
      </c>
    </row>
    <row r="7" customFormat="false" ht="15" hidden="false" customHeight="false" outlineLevel="0" collapsed="false">
      <c r="A7" s="11" t="n">
        <v>46206</v>
      </c>
      <c r="B7" s="12" t="s">
        <v>88</v>
      </c>
      <c r="C7" s="12" t="s">
        <v>86</v>
      </c>
      <c r="D7" s="4" t="s">
        <v>20</v>
      </c>
      <c r="E7" s="4"/>
      <c r="F7" s="5" t="n">
        <v>36</v>
      </c>
      <c r="G7" s="4" t="s">
        <v>26</v>
      </c>
      <c r="H7" s="4"/>
      <c r="I7" s="5" t="n">
        <v>60</v>
      </c>
      <c r="J7" s="4"/>
      <c r="K7" s="4"/>
      <c r="L7" s="5"/>
      <c r="M7" s="4"/>
      <c r="N7" s="4"/>
      <c r="O7" s="5"/>
      <c r="P7" s="13" t="n">
        <f aca="false">F7+I7+L7+O7</f>
        <v>96</v>
      </c>
      <c r="Q7" s="5" t="n">
        <v>4303</v>
      </c>
      <c r="R7" s="5" t="n">
        <v>1096</v>
      </c>
      <c r="S7" s="5" t="n">
        <v>353</v>
      </c>
      <c r="T7" s="5" t="n">
        <v>348</v>
      </c>
      <c r="U7" s="5"/>
      <c r="V7" s="13" t="n">
        <f aca="false">SUM(Q7:U7)</f>
        <v>6100</v>
      </c>
      <c r="W7" s="5" t="n">
        <v>4303</v>
      </c>
      <c r="X7" s="5" t="n">
        <v>1000</v>
      </c>
      <c r="Y7" s="14" t="n">
        <f aca="false">W7-Q7</f>
        <v>0</v>
      </c>
      <c r="Z7" s="14" t="n">
        <f aca="false">X7-(R7-P7)</f>
        <v>0</v>
      </c>
      <c r="AA7" s="12" t="str">
        <f aca="false">IF(AND(Y7=0,Z7=0),"مطابق",IF(Y7+Z7&gt;0,"زيادة","عجز"))</f>
        <v>مطابق</v>
      </c>
      <c r="AB7" s="13" t="n">
        <f aca="false">V7-P7</f>
        <v>6004</v>
      </c>
    </row>
    <row r="8" customFormat="false" ht="15" hidden="false" customHeight="false" outlineLevel="0" collapsed="false">
      <c r="A8" s="11" t="n">
        <v>46207</v>
      </c>
      <c r="B8" s="12" t="s">
        <v>89</v>
      </c>
      <c r="C8" s="12" t="s">
        <v>86</v>
      </c>
      <c r="D8" s="4" t="s">
        <v>26</v>
      </c>
      <c r="E8" s="4"/>
      <c r="F8" s="5" t="n">
        <v>42</v>
      </c>
      <c r="G8" s="4" t="s">
        <v>20</v>
      </c>
      <c r="H8" s="4"/>
      <c r="I8" s="5" t="n">
        <v>32</v>
      </c>
      <c r="J8" s="4" t="s">
        <v>26</v>
      </c>
      <c r="K8" s="4"/>
      <c r="L8" s="5" t="n">
        <v>38</v>
      </c>
      <c r="M8" s="4"/>
      <c r="N8" s="4"/>
      <c r="O8" s="5"/>
      <c r="P8" s="13" t="n">
        <f aca="false">F8+I8+L8+O8</f>
        <v>112</v>
      </c>
      <c r="Q8" s="5" t="n">
        <v>2166</v>
      </c>
      <c r="R8" s="5" t="n">
        <v>1203</v>
      </c>
      <c r="S8" s="5"/>
      <c r="T8" s="5"/>
      <c r="U8" s="5"/>
      <c r="V8" s="13" t="n">
        <f aca="false">SUM(Q8:U8)</f>
        <v>3369</v>
      </c>
      <c r="W8" s="5" t="n">
        <v>2166</v>
      </c>
      <c r="X8" s="5" t="n">
        <v>1091</v>
      </c>
      <c r="Y8" s="14" t="n">
        <f aca="false">W8-Q8</f>
        <v>0</v>
      </c>
      <c r="Z8" s="14" t="n">
        <f aca="false">X8-(R8-P8)</f>
        <v>0</v>
      </c>
      <c r="AA8" s="12" t="str">
        <f aca="false">IF(AND(Y8=0,Z8=0),"مطابق",IF(Y8+Z8&gt;0,"زيادة","عجز"))</f>
        <v>مطابق</v>
      </c>
      <c r="AB8" s="13" t="n">
        <f aca="false">V8-P8</f>
        <v>3257</v>
      </c>
    </row>
    <row r="9" customFormat="false" ht="15" hidden="false" customHeight="false" outlineLevel="0" collapsed="false">
      <c r="A9" s="11" t="n">
        <v>46208</v>
      </c>
      <c r="B9" s="12" t="s">
        <v>90</v>
      </c>
      <c r="C9" s="12" t="s">
        <v>86</v>
      </c>
      <c r="D9" s="4" t="s">
        <v>26</v>
      </c>
      <c r="E9" s="4"/>
      <c r="F9" s="5" t="n">
        <v>26</v>
      </c>
      <c r="G9" s="4" t="s">
        <v>26</v>
      </c>
      <c r="H9" s="4"/>
      <c r="I9" s="5" t="n">
        <v>56</v>
      </c>
      <c r="J9" s="4"/>
      <c r="K9" s="4"/>
      <c r="L9" s="5"/>
      <c r="M9" s="4"/>
      <c r="N9" s="4"/>
      <c r="O9" s="5"/>
      <c r="P9" s="13" t="n">
        <f aca="false">F9+I9+L9+O9</f>
        <v>82</v>
      </c>
      <c r="Q9" s="5" t="n">
        <v>3027</v>
      </c>
      <c r="R9" s="5" t="n">
        <v>873</v>
      </c>
      <c r="S9" s="5" t="n">
        <v>228</v>
      </c>
      <c r="T9" s="5"/>
      <c r="U9" s="5"/>
      <c r="V9" s="13" t="n">
        <f aca="false">SUM(Q9:U9)</f>
        <v>4128</v>
      </c>
      <c r="W9" s="5" t="n">
        <v>3027</v>
      </c>
      <c r="X9" s="5" t="n">
        <v>791</v>
      </c>
      <c r="Y9" s="14" t="n">
        <f aca="false">W9-Q9</f>
        <v>0</v>
      </c>
      <c r="Z9" s="14" t="n">
        <f aca="false">X9-(R9-P9)</f>
        <v>0</v>
      </c>
      <c r="AA9" s="12" t="str">
        <f aca="false">IF(AND(Y9=0,Z9=0),"مطابق",IF(Y9+Z9&gt;0,"زيادة","عجز"))</f>
        <v>مطابق</v>
      </c>
      <c r="AB9" s="13" t="n">
        <f aca="false">V9-P9</f>
        <v>4046</v>
      </c>
    </row>
    <row r="10" customFormat="false" ht="15" hidden="false" customHeight="false" outlineLevel="0" collapsed="false">
      <c r="A10" s="11" t="n">
        <v>46209</v>
      </c>
      <c r="B10" s="12" t="s">
        <v>91</v>
      </c>
      <c r="C10" s="12" t="s">
        <v>86</v>
      </c>
      <c r="D10" s="4" t="s">
        <v>13</v>
      </c>
      <c r="E10" s="4" t="s">
        <v>14</v>
      </c>
      <c r="F10" s="5" t="n">
        <v>200</v>
      </c>
      <c r="G10" s="4"/>
      <c r="H10" s="4"/>
      <c r="I10" s="5"/>
      <c r="J10" s="4"/>
      <c r="K10" s="4"/>
      <c r="L10" s="5"/>
      <c r="M10" s="4"/>
      <c r="N10" s="4"/>
      <c r="O10" s="5"/>
      <c r="P10" s="13" t="n">
        <f aca="false">F10+I10+L10+O10</f>
        <v>200</v>
      </c>
      <c r="Q10" s="5" t="n">
        <v>3171</v>
      </c>
      <c r="R10" s="5" t="n">
        <v>574</v>
      </c>
      <c r="S10" s="5"/>
      <c r="T10" s="5"/>
      <c r="U10" s="5"/>
      <c r="V10" s="13" t="n">
        <f aca="false">SUM(Q10:U10)</f>
        <v>3745</v>
      </c>
      <c r="W10" s="5" t="n">
        <v>3171</v>
      </c>
      <c r="X10" s="5" t="n">
        <v>400</v>
      </c>
      <c r="Y10" s="14" t="n">
        <f aca="false">W10-Q10</f>
        <v>0</v>
      </c>
      <c r="Z10" s="14" t="n">
        <f aca="false">X10-(R10-P10)</f>
        <v>26</v>
      </c>
      <c r="AA10" s="12" t="str">
        <f aca="false">IF(AND(Y10=0,Z10=0),"مطابق",IF(Y10+Z10&gt;0,"زيادة","عجز"))</f>
        <v>زيادة</v>
      </c>
      <c r="AB10" s="13" t="n">
        <f aca="false">V10-P10</f>
        <v>3545</v>
      </c>
    </row>
    <row r="11" customFormat="false" ht="15" hidden="false" customHeight="false" outlineLevel="0" collapsed="false">
      <c r="A11" s="11" t="n">
        <v>46210</v>
      </c>
      <c r="B11" s="12" t="s">
        <v>92</v>
      </c>
      <c r="C11" s="12" t="s">
        <v>86</v>
      </c>
      <c r="D11" s="4" t="s">
        <v>20</v>
      </c>
      <c r="E11" s="4"/>
      <c r="F11" s="5" t="n">
        <v>64</v>
      </c>
      <c r="G11" s="4"/>
      <c r="H11" s="4"/>
      <c r="I11" s="5"/>
      <c r="J11" s="4"/>
      <c r="K11" s="4"/>
      <c r="L11" s="5"/>
      <c r="M11" s="4"/>
      <c r="N11" s="4"/>
      <c r="O11" s="5"/>
      <c r="P11" s="13" t="n">
        <f aca="false">F11+I11+L11+O11</f>
        <v>64</v>
      </c>
      <c r="Q11" s="5" t="n">
        <v>3282</v>
      </c>
      <c r="R11" s="5" t="n">
        <v>1182</v>
      </c>
      <c r="S11" s="5"/>
      <c r="T11" s="5" t="n">
        <v>262</v>
      </c>
      <c r="U11" s="5"/>
      <c r="V11" s="13" t="n">
        <f aca="false">SUM(Q11:U11)</f>
        <v>4726</v>
      </c>
      <c r="W11" s="5" t="n">
        <v>3282</v>
      </c>
      <c r="X11" s="5" t="n">
        <v>1118</v>
      </c>
      <c r="Y11" s="14" t="n">
        <f aca="false">W11-Q11</f>
        <v>0</v>
      </c>
      <c r="Z11" s="14" t="n">
        <f aca="false">X11-(R11-P11)</f>
        <v>0</v>
      </c>
      <c r="AA11" s="12" t="str">
        <f aca="false">IF(AND(Y11=0,Z11=0),"مطابق",IF(Y11+Z11&gt;0,"زيادة","عجز"))</f>
        <v>مطابق</v>
      </c>
      <c r="AB11" s="13" t="n">
        <f aca="false">V11-P11</f>
        <v>4662</v>
      </c>
    </row>
    <row r="12" customFormat="false" ht="15" hidden="false" customHeight="false" outlineLevel="0" collapsed="false">
      <c r="A12" s="11" t="n">
        <v>46211</v>
      </c>
      <c r="B12" s="12" t="s">
        <v>85</v>
      </c>
      <c r="C12" s="12" t="s">
        <v>86</v>
      </c>
      <c r="D12" s="4" t="s">
        <v>20</v>
      </c>
      <c r="E12" s="4"/>
      <c r="F12" s="5" t="n">
        <v>36</v>
      </c>
      <c r="G12" s="4" t="s">
        <v>20</v>
      </c>
      <c r="H12" s="4"/>
      <c r="I12" s="5" t="n">
        <v>145</v>
      </c>
      <c r="J12" s="4" t="s">
        <v>13</v>
      </c>
      <c r="K12" s="4" t="s">
        <v>31</v>
      </c>
      <c r="L12" s="5" t="n">
        <v>150</v>
      </c>
      <c r="M12" s="4"/>
      <c r="N12" s="4"/>
      <c r="O12" s="5"/>
      <c r="P12" s="13" t="n">
        <f aca="false">F12+I12+L12+O12</f>
        <v>331</v>
      </c>
      <c r="Q12" s="5" t="n">
        <v>2632</v>
      </c>
      <c r="R12" s="5" t="n">
        <v>617</v>
      </c>
      <c r="S12" s="5"/>
      <c r="T12" s="5"/>
      <c r="U12" s="5"/>
      <c r="V12" s="13" t="n">
        <f aca="false">SUM(Q12:U12)</f>
        <v>3249</v>
      </c>
      <c r="W12" s="5" t="n">
        <v>2632</v>
      </c>
      <c r="X12" s="5" t="n">
        <v>304</v>
      </c>
      <c r="Y12" s="14" t="n">
        <f aca="false">W12-Q12</f>
        <v>0</v>
      </c>
      <c r="Z12" s="14" t="n">
        <f aca="false">X12-(R12-P12)</f>
        <v>18</v>
      </c>
      <c r="AA12" s="12" t="str">
        <f aca="false">IF(AND(Y12=0,Z12=0),"مطابق",IF(Y12+Z12&gt;0,"زيادة","عجز"))</f>
        <v>زيادة</v>
      </c>
      <c r="AB12" s="13" t="n">
        <f aca="false">V12-P12</f>
        <v>2918</v>
      </c>
    </row>
    <row r="13" customFormat="false" ht="15" hidden="false" customHeight="false" outlineLevel="0" collapsed="false">
      <c r="A13" s="11" t="n">
        <v>46212</v>
      </c>
      <c r="B13" s="12" t="s">
        <v>87</v>
      </c>
      <c r="C13" s="12" t="s">
        <v>86</v>
      </c>
      <c r="D13" s="4" t="s">
        <v>26</v>
      </c>
      <c r="E13" s="4"/>
      <c r="F13" s="5" t="n">
        <v>60</v>
      </c>
      <c r="G13" s="4" t="s">
        <v>30</v>
      </c>
      <c r="H13" s="4"/>
      <c r="I13" s="5" t="n">
        <v>77</v>
      </c>
      <c r="J13" s="4"/>
      <c r="K13" s="4"/>
      <c r="L13" s="5"/>
      <c r="M13" s="4"/>
      <c r="N13" s="4"/>
      <c r="O13" s="5"/>
      <c r="P13" s="13" t="n">
        <f aca="false">F13+I13+L13+O13</f>
        <v>137</v>
      </c>
      <c r="Q13" s="5" t="n">
        <v>3722</v>
      </c>
      <c r="R13" s="5" t="n">
        <v>1386</v>
      </c>
      <c r="S13" s="5"/>
      <c r="T13" s="5"/>
      <c r="U13" s="5"/>
      <c r="V13" s="13" t="n">
        <f aca="false">SUM(Q13:U13)</f>
        <v>5108</v>
      </c>
      <c r="W13" s="5" t="n">
        <v>3722</v>
      </c>
      <c r="X13" s="5" t="n">
        <v>1249</v>
      </c>
      <c r="Y13" s="14" t="n">
        <f aca="false">W13-Q13</f>
        <v>0</v>
      </c>
      <c r="Z13" s="14" t="n">
        <f aca="false">X13-(R13-P13)</f>
        <v>0</v>
      </c>
      <c r="AA13" s="12" t="str">
        <f aca="false">IF(AND(Y13=0,Z13=0),"مطابق",IF(Y13+Z13&gt;0,"زيادة","عجز"))</f>
        <v>مطابق</v>
      </c>
      <c r="AB13" s="13" t="n">
        <f aca="false">V13-P13</f>
        <v>4971</v>
      </c>
    </row>
    <row r="14" customFormat="false" ht="15" hidden="false" customHeight="false" outlineLevel="0" collapsed="false">
      <c r="A14" s="11" t="n">
        <v>46213</v>
      </c>
      <c r="B14" s="12" t="s">
        <v>88</v>
      </c>
      <c r="C14" s="12" t="s">
        <v>86</v>
      </c>
      <c r="D14" s="4" t="s">
        <v>20</v>
      </c>
      <c r="E14" s="4"/>
      <c r="F14" s="5" t="n">
        <v>113</v>
      </c>
      <c r="G14" s="4" t="s">
        <v>20</v>
      </c>
      <c r="H14" s="4"/>
      <c r="I14" s="5" t="n">
        <v>54</v>
      </c>
      <c r="J14" s="4"/>
      <c r="K14" s="4"/>
      <c r="L14" s="5"/>
      <c r="M14" s="4"/>
      <c r="N14" s="4"/>
      <c r="O14" s="5"/>
      <c r="P14" s="13" t="n">
        <f aca="false">F14+I14+L14+O14</f>
        <v>167</v>
      </c>
      <c r="Q14" s="5" t="n">
        <v>3349</v>
      </c>
      <c r="R14" s="5" t="n">
        <v>1083</v>
      </c>
      <c r="S14" s="5"/>
      <c r="T14" s="5"/>
      <c r="U14" s="5" t="n">
        <v>153</v>
      </c>
      <c r="V14" s="13" t="n">
        <f aca="false">SUM(Q14:U14)</f>
        <v>4585</v>
      </c>
      <c r="W14" s="5" t="n">
        <v>3349</v>
      </c>
      <c r="X14" s="5" t="n">
        <v>916</v>
      </c>
      <c r="Y14" s="14" t="n">
        <f aca="false">W14-Q14</f>
        <v>0</v>
      </c>
      <c r="Z14" s="14" t="n">
        <f aca="false">X14-(R14-P14)</f>
        <v>0</v>
      </c>
      <c r="AA14" s="12" t="str">
        <f aca="false">IF(AND(Y14=0,Z14=0),"مطابق",IF(Y14+Z14&gt;0,"زيادة","عجز"))</f>
        <v>مطابق</v>
      </c>
      <c r="AB14" s="13" t="n">
        <f aca="false">V14-P14</f>
        <v>4418</v>
      </c>
    </row>
    <row r="15" customFormat="false" ht="15" hidden="false" customHeight="false" outlineLevel="0" collapsed="false">
      <c r="A15" s="11" t="n">
        <v>46214</v>
      </c>
      <c r="B15" s="12" t="s">
        <v>89</v>
      </c>
      <c r="C15" s="12" t="s">
        <v>86</v>
      </c>
      <c r="D15" s="4" t="s">
        <v>20</v>
      </c>
      <c r="E15" s="4"/>
      <c r="F15" s="5" t="n">
        <v>58</v>
      </c>
      <c r="G15" s="4" t="s">
        <v>20</v>
      </c>
      <c r="H15" s="4"/>
      <c r="I15" s="5" t="n">
        <v>105</v>
      </c>
      <c r="J15" s="4"/>
      <c r="K15" s="4"/>
      <c r="L15" s="5"/>
      <c r="M15" s="4"/>
      <c r="N15" s="4"/>
      <c r="O15" s="5"/>
      <c r="P15" s="13" t="n">
        <f aca="false">F15+I15+L15+O15</f>
        <v>163</v>
      </c>
      <c r="Q15" s="5" t="n">
        <v>2453</v>
      </c>
      <c r="R15" s="5" t="n">
        <v>1116</v>
      </c>
      <c r="S15" s="5" t="n">
        <v>369</v>
      </c>
      <c r="T15" s="5"/>
      <c r="U15" s="5"/>
      <c r="V15" s="13" t="n">
        <f aca="false">SUM(Q15:U15)</f>
        <v>3938</v>
      </c>
      <c r="W15" s="5" t="n">
        <v>2453</v>
      </c>
      <c r="X15" s="5" t="n">
        <v>953</v>
      </c>
      <c r="Y15" s="14" t="n">
        <f aca="false">W15-Q15</f>
        <v>0</v>
      </c>
      <c r="Z15" s="14" t="n">
        <f aca="false">X15-(R15-P15)</f>
        <v>0</v>
      </c>
      <c r="AA15" s="12" t="str">
        <f aca="false">IF(AND(Y15=0,Z15=0),"مطابق",IF(Y15+Z15&gt;0,"زيادة","عجز"))</f>
        <v>مطابق</v>
      </c>
      <c r="AB15" s="13" t="n">
        <f aca="false">V15-P15</f>
        <v>3775</v>
      </c>
    </row>
    <row r="16" customFormat="false" ht="15" hidden="false" customHeight="false" outlineLevel="0" collapsed="false">
      <c r="A16" s="11" t="n">
        <v>46215</v>
      </c>
      <c r="B16" s="12" t="s">
        <v>90</v>
      </c>
      <c r="C16" s="12" t="s">
        <v>86</v>
      </c>
      <c r="D16" s="4" t="s">
        <v>20</v>
      </c>
      <c r="E16" s="4"/>
      <c r="F16" s="5" t="n">
        <v>104</v>
      </c>
      <c r="G16" s="4" t="s">
        <v>20</v>
      </c>
      <c r="H16" s="4"/>
      <c r="I16" s="5" t="n">
        <v>33</v>
      </c>
      <c r="J16" s="4" t="s">
        <v>30</v>
      </c>
      <c r="K16" s="4"/>
      <c r="L16" s="5" t="n">
        <v>23</v>
      </c>
      <c r="M16" s="4"/>
      <c r="N16" s="4"/>
      <c r="O16" s="5"/>
      <c r="P16" s="13" t="n">
        <f aca="false">F16+I16+L16+O16</f>
        <v>160</v>
      </c>
      <c r="Q16" s="5" t="n">
        <v>1954</v>
      </c>
      <c r="R16" s="5" t="n">
        <v>821</v>
      </c>
      <c r="S16" s="5"/>
      <c r="T16" s="5"/>
      <c r="U16" s="5"/>
      <c r="V16" s="13" t="n">
        <f aca="false">SUM(Q16:U16)</f>
        <v>2775</v>
      </c>
      <c r="W16" s="5" t="n">
        <v>1954</v>
      </c>
      <c r="X16" s="5" t="n">
        <v>661</v>
      </c>
      <c r="Y16" s="14" t="n">
        <f aca="false">W16-Q16</f>
        <v>0</v>
      </c>
      <c r="Z16" s="14" t="n">
        <f aca="false">X16-(R16-P16)</f>
        <v>0</v>
      </c>
      <c r="AA16" s="12" t="str">
        <f aca="false">IF(AND(Y16=0,Z16=0),"مطابق",IF(Y16+Z16&gt;0,"زيادة","عجز"))</f>
        <v>مطابق</v>
      </c>
      <c r="AB16" s="13" t="n">
        <f aca="false">V16-P16</f>
        <v>2615</v>
      </c>
    </row>
    <row r="17" customFormat="false" ht="15" hidden="false" customHeight="false" outlineLevel="0" collapsed="false">
      <c r="A17" s="11" t="n">
        <v>46216</v>
      </c>
      <c r="B17" s="12" t="s">
        <v>91</v>
      </c>
      <c r="C17" s="12" t="s">
        <v>86</v>
      </c>
      <c r="D17" s="4" t="s">
        <v>20</v>
      </c>
      <c r="E17" s="4"/>
      <c r="F17" s="5" t="n">
        <v>148</v>
      </c>
      <c r="G17" s="4" t="s">
        <v>30</v>
      </c>
      <c r="H17" s="4"/>
      <c r="I17" s="5" t="n">
        <v>79</v>
      </c>
      <c r="J17" s="4"/>
      <c r="K17" s="4"/>
      <c r="L17" s="5"/>
      <c r="M17" s="4"/>
      <c r="N17" s="4"/>
      <c r="O17" s="5"/>
      <c r="P17" s="13" t="n">
        <f aca="false">F17+I17+L17+O17</f>
        <v>227</v>
      </c>
      <c r="Q17" s="5" t="n">
        <v>1950</v>
      </c>
      <c r="R17" s="5" t="n">
        <v>927</v>
      </c>
      <c r="S17" s="5"/>
      <c r="T17" s="5" t="n">
        <v>202</v>
      </c>
      <c r="U17" s="5"/>
      <c r="V17" s="13" t="n">
        <f aca="false">SUM(Q17:U17)</f>
        <v>3079</v>
      </c>
      <c r="W17" s="5" t="n">
        <v>1950</v>
      </c>
      <c r="X17" s="5" t="n">
        <v>700</v>
      </c>
      <c r="Y17" s="14" t="n">
        <f aca="false">W17-Q17</f>
        <v>0</v>
      </c>
      <c r="Z17" s="14" t="n">
        <f aca="false">X17-(R17-P17)</f>
        <v>0</v>
      </c>
      <c r="AA17" s="12" t="str">
        <f aca="false">IF(AND(Y17=0,Z17=0),"مطابق",IF(Y17+Z17&gt;0,"زيادة","عجز"))</f>
        <v>مطابق</v>
      </c>
      <c r="AB17" s="13" t="n">
        <f aca="false">V17-P17</f>
        <v>2852</v>
      </c>
    </row>
    <row r="18" customFormat="false" ht="15" hidden="false" customHeight="false" outlineLevel="0" collapsed="false">
      <c r="A18" s="11" t="n">
        <v>46217</v>
      </c>
      <c r="B18" s="12" t="s">
        <v>92</v>
      </c>
      <c r="C18" s="12" t="s">
        <v>86</v>
      </c>
      <c r="D18" s="4" t="s">
        <v>26</v>
      </c>
      <c r="E18" s="4"/>
      <c r="F18" s="5" t="n">
        <v>49</v>
      </c>
      <c r="G18" s="4" t="s">
        <v>13</v>
      </c>
      <c r="H18" s="4" t="s">
        <v>14</v>
      </c>
      <c r="I18" s="5" t="n">
        <v>100</v>
      </c>
      <c r="J18" s="4"/>
      <c r="K18" s="4"/>
      <c r="L18" s="5"/>
      <c r="M18" s="4"/>
      <c r="N18" s="4"/>
      <c r="O18" s="5"/>
      <c r="P18" s="13" t="n">
        <f aca="false">F18+I18+L18+O18</f>
        <v>149</v>
      </c>
      <c r="Q18" s="5" t="n">
        <v>2370</v>
      </c>
      <c r="R18" s="5" t="n">
        <v>1075</v>
      </c>
      <c r="S18" s="5"/>
      <c r="T18" s="5"/>
      <c r="U18" s="5"/>
      <c r="V18" s="13" t="n">
        <f aca="false">SUM(Q18:U18)</f>
        <v>3445</v>
      </c>
      <c r="W18" s="5" t="n">
        <v>2370</v>
      </c>
      <c r="X18" s="5" t="n">
        <v>926</v>
      </c>
      <c r="Y18" s="14" t="n">
        <f aca="false">W18-Q18</f>
        <v>0</v>
      </c>
      <c r="Z18" s="14" t="n">
        <f aca="false">X18-(R18-P18)</f>
        <v>0</v>
      </c>
      <c r="AA18" s="12" t="str">
        <f aca="false">IF(AND(Y18=0,Z18=0),"مطابق",IF(Y18+Z18&gt;0,"زيادة","عجز"))</f>
        <v>مطابق</v>
      </c>
      <c r="AB18" s="13" t="n">
        <f aca="false">V18-P18</f>
        <v>3296</v>
      </c>
    </row>
    <row r="19" customFormat="false" ht="15" hidden="false" customHeight="false" outlineLevel="0" collapsed="false">
      <c r="A19" s="11" t="n">
        <v>46218</v>
      </c>
      <c r="B19" s="12" t="s">
        <v>85</v>
      </c>
      <c r="C19" s="12" t="s">
        <v>86</v>
      </c>
      <c r="D19" s="4" t="s">
        <v>26</v>
      </c>
      <c r="E19" s="4"/>
      <c r="F19" s="5" t="n">
        <v>26</v>
      </c>
      <c r="G19" s="4"/>
      <c r="H19" s="4"/>
      <c r="I19" s="5"/>
      <c r="J19" s="4"/>
      <c r="K19" s="4"/>
      <c r="L19" s="5"/>
      <c r="M19" s="4"/>
      <c r="N19" s="4"/>
      <c r="O19" s="5"/>
      <c r="P19" s="13" t="n">
        <f aca="false">F19+I19+L19+O19</f>
        <v>26</v>
      </c>
      <c r="Q19" s="5" t="n">
        <v>2755</v>
      </c>
      <c r="R19" s="5" t="n">
        <v>1277</v>
      </c>
      <c r="S19" s="5"/>
      <c r="T19" s="5"/>
      <c r="U19" s="5" t="n">
        <v>183</v>
      </c>
      <c r="V19" s="13" t="n">
        <f aca="false">SUM(Q19:U19)</f>
        <v>4215</v>
      </c>
      <c r="W19" s="5" t="n">
        <v>2755</v>
      </c>
      <c r="X19" s="5" t="n">
        <v>1212</v>
      </c>
      <c r="Y19" s="14" t="n">
        <f aca="false">W19-Q19</f>
        <v>0</v>
      </c>
      <c r="Z19" s="14" t="n">
        <f aca="false">X19-(R19-P19)</f>
        <v>-39</v>
      </c>
      <c r="AA19" s="12" t="str">
        <f aca="false">IF(AND(Y19=0,Z19=0),"مطابق",IF(Y19+Z19&gt;0,"زيادة","عجز"))</f>
        <v>عجز</v>
      </c>
      <c r="AB19" s="13" t="n">
        <f aca="false">V19-P19</f>
        <v>4189</v>
      </c>
    </row>
    <row r="20" customFormat="false" ht="15" hidden="false" customHeight="false" outlineLevel="0" collapsed="false">
      <c r="A20" s="11" t="n">
        <v>46219</v>
      </c>
      <c r="B20" s="12" t="s">
        <v>87</v>
      </c>
      <c r="C20" s="12" t="s">
        <v>86</v>
      </c>
      <c r="D20" s="4" t="s">
        <v>30</v>
      </c>
      <c r="E20" s="4"/>
      <c r="F20" s="5" t="n">
        <v>22</v>
      </c>
      <c r="G20" s="4"/>
      <c r="H20" s="4"/>
      <c r="I20" s="5"/>
      <c r="J20" s="4"/>
      <c r="K20" s="4"/>
      <c r="L20" s="5"/>
      <c r="M20" s="4"/>
      <c r="N20" s="4"/>
      <c r="O20" s="5"/>
      <c r="P20" s="13" t="n">
        <f aca="false">F20+I20+L20+O20</f>
        <v>22</v>
      </c>
      <c r="Q20" s="5" t="n">
        <v>3287</v>
      </c>
      <c r="R20" s="5" t="n">
        <v>900</v>
      </c>
      <c r="S20" s="5"/>
      <c r="T20" s="5" t="n">
        <v>124</v>
      </c>
      <c r="U20" s="5"/>
      <c r="V20" s="13" t="n">
        <f aca="false">SUM(Q20:U20)</f>
        <v>4311</v>
      </c>
      <c r="W20" s="5" t="n">
        <v>3287</v>
      </c>
      <c r="X20" s="5" t="n">
        <v>878</v>
      </c>
      <c r="Y20" s="14" t="n">
        <f aca="false">W20-Q20</f>
        <v>0</v>
      </c>
      <c r="Z20" s="14" t="n">
        <f aca="false">X20-(R20-P20)</f>
        <v>0</v>
      </c>
      <c r="AA20" s="12" t="str">
        <f aca="false">IF(AND(Y20=0,Z20=0),"مطابق",IF(Y20+Z20&gt;0,"زيادة","عجز"))</f>
        <v>مطابق</v>
      </c>
      <c r="AB20" s="13" t="n">
        <f aca="false">V20-P20</f>
        <v>4289</v>
      </c>
    </row>
    <row r="21" customFormat="false" ht="15" hidden="false" customHeight="false" outlineLevel="0" collapsed="false">
      <c r="A21" s="11" t="n">
        <v>46220</v>
      </c>
      <c r="B21" s="12" t="s">
        <v>88</v>
      </c>
      <c r="C21" s="12" t="s">
        <v>86</v>
      </c>
      <c r="D21" s="4" t="s">
        <v>20</v>
      </c>
      <c r="E21" s="4"/>
      <c r="F21" s="5" t="n">
        <v>132</v>
      </c>
      <c r="G21" s="4" t="s">
        <v>30</v>
      </c>
      <c r="H21" s="4"/>
      <c r="I21" s="5" t="n">
        <v>75</v>
      </c>
      <c r="J21" s="4" t="s">
        <v>13</v>
      </c>
      <c r="K21" s="4" t="s">
        <v>27</v>
      </c>
      <c r="L21" s="5" t="n">
        <v>300</v>
      </c>
      <c r="M21" s="4"/>
      <c r="N21" s="4"/>
      <c r="O21" s="5"/>
      <c r="P21" s="13" t="n">
        <f aca="false">F21+I21+L21+O21</f>
        <v>507</v>
      </c>
      <c r="Q21" s="5" t="n">
        <v>4060</v>
      </c>
      <c r="R21" s="5" t="n">
        <v>972</v>
      </c>
      <c r="S21" s="5"/>
      <c r="T21" s="5"/>
      <c r="U21" s="5"/>
      <c r="V21" s="13" t="n">
        <f aca="false">SUM(Q21:U21)</f>
        <v>5032</v>
      </c>
      <c r="W21" s="5" t="n">
        <v>4060</v>
      </c>
      <c r="X21" s="5" t="n">
        <v>495</v>
      </c>
      <c r="Y21" s="14" t="n">
        <f aca="false">W21-Q21</f>
        <v>0</v>
      </c>
      <c r="Z21" s="14" t="n">
        <f aca="false">X21-(R21-P21)</f>
        <v>30</v>
      </c>
      <c r="AA21" s="12" t="str">
        <f aca="false">IF(AND(Y21=0,Z21=0),"مطابق",IF(Y21+Z21&gt;0,"زيادة","عجز"))</f>
        <v>زيادة</v>
      </c>
      <c r="AB21" s="13" t="n">
        <f aca="false">V21-P21</f>
        <v>4525</v>
      </c>
    </row>
    <row r="22" customFormat="false" ht="15" hidden="false" customHeight="false" outlineLevel="0" collapsed="false">
      <c r="A22" s="11" t="n">
        <v>46221</v>
      </c>
      <c r="B22" s="12" t="s">
        <v>89</v>
      </c>
      <c r="C22" s="12" t="s">
        <v>86</v>
      </c>
      <c r="D22" s="4" t="s">
        <v>20</v>
      </c>
      <c r="E22" s="4"/>
      <c r="F22" s="5" t="n">
        <v>65</v>
      </c>
      <c r="G22" s="4"/>
      <c r="H22" s="4"/>
      <c r="I22" s="5"/>
      <c r="J22" s="4"/>
      <c r="K22" s="4"/>
      <c r="L22" s="5"/>
      <c r="M22" s="4"/>
      <c r="N22" s="4"/>
      <c r="O22" s="5"/>
      <c r="P22" s="13" t="n">
        <f aca="false">F22+I22+L22+O22</f>
        <v>65</v>
      </c>
      <c r="Q22" s="5" t="n">
        <v>2053</v>
      </c>
      <c r="R22" s="5" t="n">
        <v>799</v>
      </c>
      <c r="S22" s="5"/>
      <c r="T22" s="5" t="n">
        <v>367</v>
      </c>
      <c r="U22" s="5"/>
      <c r="V22" s="13" t="n">
        <f aca="false">SUM(Q22:U22)</f>
        <v>3219</v>
      </c>
      <c r="W22" s="5" t="n">
        <v>2053</v>
      </c>
      <c r="X22" s="5" t="n">
        <v>700</v>
      </c>
      <c r="Y22" s="14" t="n">
        <f aca="false">W22-Q22</f>
        <v>0</v>
      </c>
      <c r="Z22" s="14" t="n">
        <f aca="false">X22-(R22-P22)</f>
        <v>-34</v>
      </c>
      <c r="AA22" s="12" t="str">
        <f aca="false">IF(AND(Y22=0,Z22=0),"مطابق",IF(Y22+Z22&gt;0,"زيادة","عجز"))</f>
        <v>عجز</v>
      </c>
      <c r="AB22" s="13" t="n">
        <f aca="false">V22-P22</f>
        <v>3154</v>
      </c>
    </row>
    <row r="23" customFormat="false" ht="15" hidden="false" customHeight="false" outlineLevel="0" collapsed="false">
      <c r="A23" s="11" t="n">
        <v>46222</v>
      </c>
      <c r="B23" s="12" t="s">
        <v>90</v>
      </c>
      <c r="C23" s="12" t="s">
        <v>86</v>
      </c>
      <c r="D23" s="4" t="s">
        <v>13</v>
      </c>
      <c r="E23" s="4" t="s">
        <v>31</v>
      </c>
      <c r="F23" s="5" t="n">
        <v>200</v>
      </c>
      <c r="G23" s="4"/>
      <c r="H23" s="4"/>
      <c r="I23" s="5"/>
      <c r="J23" s="4"/>
      <c r="K23" s="4"/>
      <c r="L23" s="5"/>
      <c r="M23" s="4"/>
      <c r="N23" s="4"/>
      <c r="O23" s="5"/>
      <c r="P23" s="13" t="n">
        <f aca="false">F23+I23+L23+O23</f>
        <v>200</v>
      </c>
      <c r="Q23" s="5" t="n">
        <v>3158</v>
      </c>
      <c r="R23" s="5" t="n">
        <v>945</v>
      </c>
      <c r="S23" s="5"/>
      <c r="T23" s="5"/>
      <c r="U23" s="5"/>
      <c r="V23" s="13" t="n">
        <f aca="false">SUM(Q23:U23)</f>
        <v>4103</v>
      </c>
      <c r="W23" s="5" t="n">
        <v>3158</v>
      </c>
      <c r="X23" s="5" t="n">
        <v>745</v>
      </c>
      <c r="Y23" s="14" t="n">
        <f aca="false">W23-Q23</f>
        <v>0</v>
      </c>
      <c r="Z23" s="14" t="n">
        <f aca="false">X23-(R23-P23)</f>
        <v>0</v>
      </c>
      <c r="AA23" s="12" t="str">
        <f aca="false">IF(AND(Y23=0,Z23=0),"مطابق",IF(Y23+Z23&gt;0,"زيادة","عجز"))</f>
        <v>مطابق</v>
      </c>
      <c r="AB23" s="13" t="n">
        <f aca="false">V23-P23</f>
        <v>3903</v>
      </c>
    </row>
    <row r="24" customFormat="false" ht="15" hidden="false" customHeight="false" outlineLevel="0" collapsed="false">
      <c r="A24" s="11" t="n">
        <v>46223</v>
      </c>
      <c r="B24" s="12" t="s">
        <v>91</v>
      </c>
      <c r="C24" s="12" t="s">
        <v>86</v>
      </c>
      <c r="D24" s="4" t="s">
        <v>13</v>
      </c>
      <c r="E24" s="4" t="s">
        <v>34</v>
      </c>
      <c r="F24" s="5" t="n">
        <v>100</v>
      </c>
      <c r="G24" s="4" t="s">
        <v>13</v>
      </c>
      <c r="H24" s="4" t="s">
        <v>14</v>
      </c>
      <c r="I24" s="5" t="n">
        <v>100</v>
      </c>
      <c r="J24" s="4" t="s">
        <v>20</v>
      </c>
      <c r="K24" s="4"/>
      <c r="L24" s="5" t="n">
        <v>69</v>
      </c>
      <c r="M24" s="4"/>
      <c r="N24" s="4"/>
      <c r="O24" s="5"/>
      <c r="P24" s="13" t="n">
        <f aca="false">F24+I24+L24+O24</f>
        <v>269</v>
      </c>
      <c r="Q24" s="5" t="n">
        <v>2257</v>
      </c>
      <c r="R24" s="5" t="n">
        <v>564</v>
      </c>
      <c r="S24" s="5" t="n">
        <v>212</v>
      </c>
      <c r="T24" s="5" t="n">
        <v>284</v>
      </c>
      <c r="U24" s="5"/>
      <c r="V24" s="13" t="n">
        <f aca="false">SUM(Q24:U24)</f>
        <v>3317</v>
      </c>
      <c r="W24" s="5" t="n">
        <v>2257</v>
      </c>
      <c r="X24" s="5" t="n">
        <v>295</v>
      </c>
      <c r="Y24" s="14" t="n">
        <f aca="false">W24-Q24</f>
        <v>0</v>
      </c>
      <c r="Z24" s="14" t="n">
        <f aca="false">X24-(R24-P24)</f>
        <v>0</v>
      </c>
      <c r="AA24" s="12" t="str">
        <f aca="false">IF(AND(Y24=0,Z24=0),"مطابق",IF(Y24+Z24&gt;0,"زيادة","عجز"))</f>
        <v>مطابق</v>
      </c>
      <c r="AB24" s="13" t="n">
        <f aca="false">V24-P24</f>
        <v>3048</v>
      </c>
    </row>
    <row r="25" customFormat="false" ht="15" hidden="false" customHeight="false" outlineLevel="0" collapsed="false">
      <c r="A25" s="11" t="n">
        <v>46224</v>
      </c>
      <c r="B25" s="12" t="s">
        <v>92</v>
      </c>
      <c r="C25" s="12" t="s">
        <v>86</v>
      </c>
      <c r="D25" s="4" t="s">
        <v>20</v>
      </c>
      <c r="E25" s="4"/>
      <c r="F25" s="5" t="n">
        <v>121</v>
      </c>
      <c r="G25" s="4"/>
      <c r="H25" s="4"/>
      <c r="I25" s="5"/>
      <c r="J25" s="4"/>
      <c r="K25" s="4"/>
      <c r="L25" s="5"/>
      <c r="M25" s="4"/>
      <c r="N25" s="4"/>
      <c r="O25" s="5"/>
      <c r="P25" s="13" t="n">
        <f aca="false">F25+I25+L25+O25</f>
        <v>121</v>
      </c>
      <c r="Q25" s="5" t="n">
        <v>1972</v>
      </c>
      <c r="R25" s="5" t="n">
        <v>1162</v>
      </c>
      <c r="S25" s="5"/>
      <c r="T25" s="5"/>
      <c r="U25" s="5" t="n">
        <v>170</v>
      </c>
      <c r="V25" s="13" t="n">
        <f aca="false">SUM(Q25:U25)</f>
        <v>3304</v>
      </c>
      <c r="W25" s="5" t="n">
        <v>1972</v>
      </c>
      <c r="X25" s="5" t="n">
        <v>1041</v>
      </c>
      <c r="Y25" s="14" t="n">
        <f aca="false">W25-Q25</f>
        <v>0</v>
      </c>
      <c r="Z25" s="14" t="n">
        <f aca="false">X25-(R25-P25)</f>
        <v>0</v>
      </c>
      <c r="AA25" s="12" t="str">
        <f aca="false">IF(AND(Y25=0,Z25=0),"مطابق",IF(Y25+Z25&gt;0,"زيادة","عجز"))</f>
        <v>مطابق</v>
      </c>
      <c r="AB25" s="13" t="n">
        <f aca="false">V25-P25</f>
        <v>3183</v>
      </c>
    </row>
    <row r="26" customFormat="false" ht="15" hidden="false" customHeight="false" outlineLevel="0" collapsed="false">
      <c r="A26" s="11" t="n">
        <v>46225</v>
      </c>
      <c r="B26" s="12" t="s">
        <v>85</v>
      </c>
      <c r="C26" s="12" t="s">
        <v>86</v>
      </c>
      <c r="D26" s="4" t="s">
        <v>20</v>
      </c>
      <c r="E26" s="4"/>
      <c r="F26" s="5" t="n">
        <v>156</v>
      </c>
      <c r="G26" s="4" t="s">
        <v>13</v>
      </c>
      <c r="H26" s="4" t="s">
        <v>31</v>
      </c>
      <c r="I26" s="5" t="n">
        <v>150</v>
      </c>
      <c r="J26" s="4"/>
      <c r="K26" s="4"/>
      <c r="L26" s="5"/>
      <c r="M26" s="4"/>
      <c r="N26" s="4"/>
      <c r="O26" s="5"/>
      <c r="P26" s="13" t="n">
        <f aca="false">F26+I26+L26+O26</f>
        <v>306</v>
      </c>
      <c r="Q26" s="5" t="n">
        <v>3046</v>
      </c>
      <c r="R26" s="5" t="n">
        <v>525</v>
      </c>
      <c r="S26" s="5"/>
      <c r="T26" s="5"/>
      <c r="U26" s="5" t="n">
        <v>134</v>
      </c>
      <c r="V26" s="13" t="n">
        <f aca="false">SUM(Q26:U26)</f>
        <v>3705</v>
      </c>
      <c r="W26" s="5" t="n">
        <v>3046</v>
      </c>
      <c r="X26" s="5" t="n">
        <v>219</v>
      </c>
      <c r="Y26" s="14" t="n">
        <f aca="false">W26-Q26</f>
        <v>0</v>
      </c>
      <c r="Z26" s="14" t="n">
        <f aca="false">X26-(R26-P26)</f>
        <v>0</v>
      </c>
      <c r="AA26" s="12" t="str">
        <f aca="false">IF(AND(Y26=0,Z26=0),"مطابق",IF(Y26+Z26&gt;0,"زيادة","عجز"))</f>
        <v>مطابق</v>
      </c>
      <c r="AB26" s="13" t="n">
        <f aca="false">V26-P26</f>
        <v>3399</v>
      </c>
    </row>
    <row r="27" customFormat="false" ht="15" hidden="false" customHeight="false" outlineLevel="0" collapsed="false">
      <c r="A27" s="11" t="n">
        <v>46226</v>
      </c>
      <c r="B27" s="12" t="s">
        <v>87</v>
      </c>
      <c r="C27" s="12" t="s">
        <v>86</v>
      </c>
      <c r="D27" s="4" t="s">
        <v>26</v>
      </c>
      <c r="E27" s="4"/>
      <c r="F27" s="5" t="n">
        <v>51</v>
      </c>
      <c r="G27" s="4" t="s">
        <v>26</v>
      </c>
      <c r="H27" s="4"/>
      <c r="I27" s="5" t="n">
        <v>50</v>
      </c>
      <c r="J27" s="4" t="s">
        <v>20</v>
      </c>
      <c r="K27" s="4"/>
      <c r="L27" s="5" t="n">
        <v>116</v>
      </c>
      <c r="M27" s="4"/>
      <c r="N27" s="4"/>
      <c r="O27" s="5"/>
      <c r="P27" s="13" t="n">
        <f aca="false">F27+I27+L27+O27</f>
        <v>217</v>
      </c>
      <c r="Q27" s="5" t="n">
        <v>2685</v>
      </c>
      <c r="R27" s="5" t="n">
        <v>913</v>
      </c>
      <c r="S27" s="5"/>
      <c r="T27" s="5"/>
      <c r="U27" s="5"/>
      <c r="V27" s="13" t="n">
        <f aca="false">SUM(Q27:U27)</f>
        <v>3598</v>
      </c>
      <c r="W27" s="5" t="n">
        <v>2685</v>
      </c>
      <c r="X27" s="5" t="n">
        <v>687</v>
      </c>
      <c r="Y27" s="14" t="n">
        <f aca="false">W27-Q27</f>
        <v>0</v>
      </c>
      <c r="Z27" s="14" t="n">
        <f aca="false">X27-(R27-P27)</f>
        <v>-9</v>
      </c>
      <c r="AA27" s="12" t="str">
        <f aca="false">IF(AND(Y27=0,Z27=0),"مطابق",IF(Y27+Z27&gt;0,"زيادة","عجز"))</f>
        <v>عجز</v>
      </c>
      <c r="AB27" s="13" t="n">
        <f aca="false">V27-P27</f>
        <v>3381</v>
      </c>
    </row>
    <row r="28" customFormat="false" ht="15" hidden="false" customHeight="false" outlineLevel="0" collapsed="false">
      <c r="A28" s="11" t="n">
        <v>46227</v>
      </c>
      <c r="B28" s="12" t="s">
        <v>88</v>
      </c>
      <c r="C28" s="12" t="s">
        <v>86</v>
      </c>
      <c r="D28" s="4" t="s">
        <v>20</v>
      </c>
      <c r="E28" s="4"/>
      <c r="F28" s="5" t="n">
        <v>151</v>
      </c>
      <c r="G28" s="4"/>
      <c r="H28" s="4"/>
      <c r="I28" s="5"/>
      <c r="J28" s="4"/>
      <c r="K28" s="4"/>
      <c r="L28" s="5"/>
      <c r="M28" s="4"/>
      <c r="N28" s="4"/>
      <c r="O28" s="5"/>
      <c r="P28" s="13" t="n">
        <f aca="false">F28+I28+L28+O28</f>
        <v>151</v>
      </c>
      <c r="Q28" s="5" t="n">
        <v>3347</v>
      </c>
      <c r="R28" s="5" t="n">
        <v>1351</v>
      </c>
      <c r="S28" s="5"/>
      <c r="T28" s="5"/>
      <c r="U28" s="5"/>
      <c r="V28" s="13" t="n">
        <f aca="false">SUM(Q28:U28)</f>
        <v>4698</v>
      </c>
      <c r="W28" s="5" t="n">
        <v>3347</v>
      </c>
      <c r="X28" s="5" t="n">
        <v>1200</v>
      </c>
      <c r="Y28" s="14" t="n">
        <f aca="false">W28-Q28</f>
        <v>0</v>
      </c>
      <c r="Z28" s="14" t="n">
        <f aca="false">X28-(R28-P28)</f>
        <v>0</v>
      </c>
      <c r="AA28" s="12" t="str">
        <f aca="false">IF(AND(Y28=0,Z28=0),"مطابق",IF(Y28+Z28&gt;0,"زيادة","عجز"))</f>
        <v>مطابق</v>
      </c>
      <c r="AB28" s="13" t="n">
        <f aca="false">V28-P28</f>
        <v>4547</v>
      </c>
    </row>
    <row r="29" customFormat="false" ht="15" hidden="false" customHeight="false" outlineLevel="0" collapsed="false">
      <c r="A29" s="11" t="n">
        <v>46228</v>
      </c>
      <c r="B29" s="12" t="s">
        <v>89</v>
      </c>
      <c r="C29" s="12" t="s">
        <v>86</v>
      </c>
      <c r="D29" s="4" t="s">
        <v>20</v>
      </c>
      <c r="E29" s="4"/>
      <c r="F29" s="5" t="n">
        <v>32</v>
      </c>
      <c r="G29" s="4"/>
      <c r="H29" s="4"/>
      <c r="I29" s="5"/>
      <c r="J29" s="4"/>
      <c r="K29" s="4"/>
      <c r="L29" s="5"/>
      <c r="M29" s="4"/>
      <c r="N29" s="4"/>
      <c r="O29" s="5"/>
      <c r="P29" s="13" t="n">
        <f aca="false">F29+I29+L29+O29</f>
        <v>32</v>
      </c>
      <c r="Q29" s="5" t="n">
        <v>2857</v>
      </c>
      <c r="R29" s="5" t="n">
        <v>1251</v>
      </c>
      <c r="S29" s="5"/>
      <c r="T29" s="5"/>
      <c r="U29" s="5"/>
      <c r="V29" s="13" t="n">
        <f aca="false">SUM(Q29:U29)</f>
        <v>4108</v>
      </c>
      <c r="W29" s="5" t="n">
        <v>2857</v>
      </c>
      <c r="X29" s="5" t="n">
        <v>1219</v>
      </c>
      <c r="Y29" s="14" t="n">
        <f aca="false">W29-Q29</f>
        <v>0</v>
      </c>
      <c r="Z29" s="14" t="n">
        <f aca="false">X29-(R29-P29)</f>
        <v>0</v>
      </c>
      <c r="AA29" s="12" t="str">
        <f aca="false">IF(AND(Y29=0,Z29=0),"مطابق",IF(Y29+Z29&gt;0,"زيادة","عجز"))</f>
        <v>مطابق</v>
      </c>
      <c r="AB29" s="13" t="n">
        <f aca="false">V29-P29</f>
        <v>4076</v>
      </c>
    </row>
    <row r="30" customFormat="false" ht="15" hidden="false" customHeight="false" outlineLevel="0" collapsed="false">
      <c r="A30" s="11" t="n">
        <v>46229</v>
      </c>
      <c r="B30" s="12" t="s">
        <v>90</v>
      </c>
      <c r="C30" s="12" t="s">
        <v>86</v>
      </c>
      <c r="D30" s="4" t="s">
        <v>13</v>
      </c>
      <c r="E30" s="4" t="s">
        <v>34</v>
      </c>
      <c r="F30" s="5" t="n">
        <v>150</v>
      </c>
      <c r="G30" s="4" t="s">
        <v>20</v>
      </c>
      <c r="H30" s="4"/>
      <c r="I30" s="5" t="n">
        <v>111</v>
      </c>
      <c r="J30" s="4"/>
      <c r="K30" s="4"/>
      <c r="L30" s="5"/>
      <c r="M30" s="4"/>
      <c r="N30" s="4"/>
      <c r="O30" s="5"/>
      <c r="P30" s="13" t="n">
        <f aca="false">F30+I30+L30+O30</f>
        <v>261</v>
      </c>
      <c r="Q30" s="5" t="n">
        <v>2877</v>
      </c>
      <c r="R30" s="5" t="n">
        <v>1050</v>
      </c>
      <c r="S30" s="5"/>
      <c r="T30" s="5"/>
      <c r="U30" s="5"/>
      <c r="V30" s="13" t="n">
        <f aca="false">SUM(Q30:U30)</f>
        <v>3927</v>
      </c>
      <c r="W30" s="5" t="n">
        <v>2877</v>
      </c>
      <c r="X30" s="5" t="n">
        <v>789</v>
      </c>
      <c r="Y30" s="14" t="n">
        <f aca="false">W30-Q30</f>
        <v>0</v>
      </c>
      <c r="Z30" s="14" t="n">
        <f aca="false">X30-(R30-P30)</f>
        <v>0</v>
      </c>
      <c r="AA30" s="12" t="str">
        <f aca="false">IF(AND(Y30=0,Z30=0),"مطابق",IF(Y30+Z30&gt;0,"زيادة","عجز"))</f>
        <v>مطابق</v>
      </c>
      <c r="AB30" s="13" t="n">
        <f aca="false">V30-P30</f>
        <v>3666</v>
      </c>
    </row>
    <row r="31" customFormat="false" ht="15" hidden="false" customHeight="false" outlineLevel="0" collapsed="false">
      <c r="A31" s="11" t="n">
        <v>46230</v>
      </c>
      <c r="B31" s="12" t="s">
        <v>91</v>
      </c>
      <c r="C31" s="12" t="s">
        <v>86</v>
      </c>
      <c r="D31" s="4" t="s">
        <v>26</v>
      </c>
      <c r="E31" s="4"/>
      <c r="F31" s="5" t="n">
        <v>28</v>
      </c>
      <c r="G31" s="4" t="s">
        <v>13</v>
      </c>
      <c r="H31" s="4" t="s">
        <v>31</v>
      </c>
      <c r="I31" s="5" t="n">
        <v>100</v>
      </c>
      <c r="J31" s="4" t="s">
        <v>26</v>
      </c>
      <c r="K31" s="4"/>
      <c r="L31" s="5" t="n">
        <v>54</v>
      </c>
      <c r="M31" s="4"/>
      <c r="N31" s="4"/>
      <c r="O31" s="5"/>
      <c r="P31" s="13" t="n">
        <f aca="false">F31+I31+L31+O31</f>
        <v>182</v>
      </c>
      <c r="Q31" s="5" t="n">
        <v>1859</v>
      </c>
      <c r="R31" s="5" t="n">
        <v>867</v>
      </c>
      <c r="S31" s="5"/>
      <c r="T31" s="5" t="n">
        <v>186</v>
      </c>
      <c r="U31" s="5"/>
      <c r="V31" s="13" t="n">
        <f aca="false">SUM(Q31:U31)</f>
        <v>2912</v>
      </c>
      <c r="W31" s="5" t="n">
        <v>1859</v>
      </c>
      <c r="X31" s="5" t="n">
        <v>706</v>
      </c>
      <c r="Y31" s="14" t="n">
        <f aca="false">W31-Q31</f>
        <v>0</v>
      </c>
      <c r="Z31" s="14" t="n">
        <f aca="false">X31-(R31-P31)</f>
        <v>21</v>
      </c>
      <c r="AA31" s="12" t="str">
        <f aca="false">IF(AND(Y31=0,Z31=0),"مطابق",IF(Y31+Z31&gt;0,"زيادة","عجز"))</f>
        <v>زيادة</v>
      </c>
      <c r="AB31" s="13" t="n">
        <f aca="false">V31-P31</f>
        <v>2730</v>
      </c>
    </row>
    <row r="32" customFormat="false" ht="15" hidden="false" customHeight="false" outlineLevel="0" collapsed="false">
      <c r="A32" s="11" t="n">
        <v>46231</v>
      </c>
      <c r="B32" s="12" t="s">
        <v>92</v>
      </c>
      <c r="C32" s="12" t="s">
        <v>86</v>
      </c>
      <c r="D32" s="4" t="s">
        <v>13</v>
      </c>
      <c r="E32" s="4" t="s">
        <v>34</v>
      </c>
      <c r="F32" s="5" t="n">
        <v>150</v>
      </c>
      <c r="G32" s="4" t="s">
        <v>13</v>
      </c>
      <c r="H32" s="4" t="s">
        <v>34</v>
      </c>
      <c r="I32" s="5" t="n">
        <v>150</v>
      </c>
      <c r="J32" s="4" t="s">
        <v>26</v>
      </c>
      <c r="K32" s="4"/>
      <c r="L32" s="5" t="n">
        <v>50</v>
      </c>
      <c r="M32" s="4"/>
      <c r="N32" s="4"/>
      <c r="O32" s="5"/>
      <c r="P32" s="13" t="n">
        <f aca="false">F32+I32+L32+O32</f>
        <v>350</v>
      </c>
      <c r="Q32" s="5" t="n">
        <v>2309</v>
      </c>
      <c r="R32" s="5" t="n">
        <v>739</v>
      </c>
      <c r="S32" s="5" t="n">
        <v>142</v>
      </c>
      <c r="T32" s="5"/>
      <c r="U32" s="5" t="n">
        <v>252</v>
      </c>
      <c r="V32" s="13" t="n">
        <f aca="false">SUM(Q32:U32)</f>
        <v>3442</v>
      </c>
      <c r="W32" s="5" t="n">
        <v>2309</v>
      </c>
      <c r="X32" s="5" t="n">
        <v>389</v>
      </c>
      <c r="Y32" s="14" t="n">
        <f aca="false">W32-Q32</f>
        <v>0</v>
      </c>
      <c r="Z32" s="14" t="n">
        <f aca="false">X32-(R32-P32)</f>
        <v>0</v>
      </c>
      <c r="AA32" s="12" t="str">
        <f aca="false">IF(AND(Y32=0,Z32=0),"مطابق",IF(Y32+Z32&gt;0,"زيادة","عجز"))</f>
        <v>مطابق</v>
      </c>
      <c r="AB32" s="13" t="n">
        <f aca="false">V32-P32</f>
        <v>3092</v>
      </c>
    </row>
    <row r="33" customFormat="false" ht="15" hidden="false" customHeight="false" outlineLevel="0" collapsed="false">
      <c r="A33" s="11" t="n">
        <v>46232</v>
      </c>
      <c r="B33" s="12" t="s">
        <v>85</v>
      </c>
      <c r="C33" s="12" t="s">
        <v>86</v>
      </c>
      <c r="D33" s="4" t="s">
        <v>26</v>
      </c>
      <c r="E33" s="4"/>
      <c r="F33" s="5" t="n">
        <v>26</v>
      </c>
      <c r="G33" s="4" t="s">
        <v>20</v>
      </c>
      <c r="H33" s="4"/>
      <c r="I33" s="5" t="n">
        <v>62</v>
      </c>
      <c r="J33" s="4" t="s">
        <v>13</v>
      </c>
      <c r="K33" s="4" t="s">
        <v>14</v>
      </c>
      <c r="L33" s="5" t="n">
        <v>150</v>
      </c>
      <c r="M33" s="4"/>
      <c r="N33" s="4"/>
      <c r="O33" s="5"/>
      <c r="P33" s="13" t="n">
        <f aca="false">F33+I33+L33+O33</f>
        <v>238</v>
      </c>
      <c r="Q33" s="5" t="n">
        <v>2962</v>
      </c>
      <c r="R33" s="5" t="n">
        <v>611</v>
      </c>
      <c r="S33" s="5" t="n">
        <v>286</v>
      </c>
      <c r="T33" s="5"/>
      <c r="U33" s="5"/>
      <c r="V33" s="13" t="n">
        <f aca="false">SUM(Q33:U33)</f>
        <v>3859</v>
      </c>
      <c r="W33" s="5" t="n">
        <v>2962</v>
      </c>
      <c r="X33" s="5" t="n">
        <v>373</v>
      </c>
      <c r="Y33" s="14" t="n">
        <f aca="false">W33-Q33</f>
        <v>0</v>
      </c>
      <c r="Z33" s="14" t="n">
        <f aca="false">X33-(R33-P33)</f>
        <v>0</v>
      </c>
      <c r="AA33" s="12" t="str">
        <f aca="false">IF(AND(Y33=0,Z33=0),"مطابق",IF(Y33+Z33&gt;0,"زيادة","عجز"))</f>
        <v>مطابق</v>
      </c>
      <c r="AB33" s="13" t="n">
        <f aca="false">V33-P33</f>
        <v>3621</v>
      </c>
    </row>
    <row r="34" customFormat="false" ht="15" hidden="false" customHeight="false" outlineLevel="0" collapsed="false">
      <c r="A34" s="11" t="n">
        <v>46233</v>
      </c>
      <c r="B34" s="12" t="s">
        <v>87</v>
      </c>
      <c r="C34" s="12" t="s">
        <v>86</v>
      </c>
      <c r="D34" s="4" t="s">
        <v>20</v>
      </c>
      <c r="E34" s="4"/>
      <c r="F34" s="5" t="n">
        <v>31</v>
      </c>
      <c r="G34" s="4" t="s">
        <v>20</v>
      </c>
      <c r="H34" s="4"/>
      <c r="I34" s="5" t="n">
        <v>114</v>
      </c>
      <c r="J34" s="4" t="s">
        <v>20</v>
      </c>
      <c r="K34" s="4"/>
      <c r="L34" s="5" t="n">
        <v>138</v>
      </c>
      <c r="M34" s="4"/>
      <c r="N34" s="4"/>
      <c r="O34" s="5"/>
      <c r="P34" s="13" t="n">
        <f aca="false">F34+I34+L34+O34</f>
        <v>283</v>
      </c>
      <c r="Q34" s="5" t="n">
        <v>3541</v>
      </c>
      <c r="R34" s="5" t="n">
        <v>1627</v>
      </c>
      <c r="S34" s="5" t="n">
        <v>111</v>
      </c>
      <c r="T34" s="5"/>
      <c r="U34" s="5"/>
      <c r="V34" s="13" t="n">
        <f aca="false">SUM(Q34:U34)</f>
        <v>5279</v>
      </c>
      <c r="W34" s="5" t="n">
        <v>3541</v>
      </c>
      <c r="X34" s="5" t="n">
        <v>1344</v>
      </c>
      <c r="Y34" s="14" t="n">
        <f aca="false">W34-Q34</f>
        <v>0</v>
      </c>
      <c r="Z34" s="14" t="n">
        <f aca="false">X34-(R34-P34)</f>
        <v>0</v>
      </c>
      <c r="AA34" s="12" t="str">
        <f aca="false">IF(AND(Y34=0,Z34=0),"مطابق",IF(Y34+Z34&gt;0,"زيادة","عجز"))</f>
        <v>مطابق</v>
      </c>
      <c r="AB34" s="13" t="n">
        <f aca="false">V34-P34</f>
        <v>4996</v>
      </c>
    </row>
    <row r="35" customFormat="false" ht="15" hidden="false" customHeight="false" outlineLevel="0" collapsed="false">
      <c r="A35" s="11" t="n">
        <v>46234</v>
      </c>
      <c r="B35" s="12" t="s">
        <v>88</v>
      </c>
      <c r="C35" s="12" t="s">
        <v>86</v>
      </c>
      <c r="D35" s="4" t="s">
        <v>26</v>
      </c>
      <c r="E35" s="4"/>
      <c r="F35" s="5" t="n">
        <v>20</v>
      </c>
      <c r="G35" s="4" t="s">
        <v>30</v>
      </c>
      <c r="H35" s="4"/>
      <c r="I35" s="5" t="n">
        <v>42</v>
      </c>
      <c r="J35" s="4"/>
      <c r="K35" s="4"/>
      <c r="L35" s="5"/>
      <c r="M35" s="4"/>
      <c r="N35" s="4"/>
      <c r="O35" s="5"/>
      <c r="P35" s="13" t="n">
        <f aca="false">F35+I35+L35+O35</f>
        <v>62</v>
      </c>
      <c r="Q35" s="5" t="n">
        <v>4521</v>
      </c>
      <c r="R35" s="5" t="n">
        <v>852</v>
      </c>
      <c r="S35" s="5"/>
      <c r="T35" s="5" t="n">
        <v>307</v>
      </c>
      <c r="U35" s="5"/>
      <c r="V35" s="13" t="n">
        <f aca="false">SUM(Q35:U35)</f>
        <v>5680</v>
      </c>
      <c r="W35" s="5" t="n">
        <v>4521</v>
      </c>
      <c r="X35" s="5" t="n">
        <v>790</v>
      </c>
      <c r="Y35" s="14" t="n">
        <f aca="false">W35-Q35</f>
        <v>0</v>
      </c>
      <c r="Z35" s="14" t="n">
        <f aca="false">X35-(R35-P35)</f>
        <v>0</v>
      </c>
      <c r="AA35" s="12" t="str">
        <f aca="false">IF(AND(Y35=0,Z35=0),"مطابق",IF(Y35+Z35&gt;0,"زيادة","عجز"))</f>
        <v>مطابق</v>
      </c>
      <c r="AB35" s="13" t="n">
        <f aca="false">V35-P35</f>
        <v>5618</v>
      </c>
    </row>
    <row r="36" customFormat="false" ht="15" hidden="false" customHeight="false" outlineLevel="0" collapsed="false">
      <c r="A36" s="11" t="n">
        <v>46235</v>
      </c>
      <c r="B36" s="12" t="s">
        <v>89</v>
      </c>
      <c r="C36" s="12" t="s">
        <v>93</v>
      </c>
      <c r="D36" s="4" t="s">
        <v>26</v>
      </c>
      <c r="E36" s="4"/>
      <c r="F36" s="5" t="n">
        <v>45</v>
      </c>
      <c r="G36" s="4" t="s">
        <v>20</v>
      </c>
      <c r="H36" s="4"/>
      <c r="I36" s="5" t="n">
        <v>120</v>
      </c>
      <c r="J36" s="4"/>
      <c r="K36" s="4"/>
      <c r="L36" s="5"/>
      <c r="M36" s="4"/>
      <c r="N36" s="4"/>
      <c r="O36" s="5"/>
      <c r="P36" s="13" t="n">
        <f aca="false">F36+I36+L36+O36</f>
        <v>165</v>
      </c>
      <c r="Q36" s="5" t="n">
        <v>2494</v>
      </c>
      <c r="R36" s="5" t="n">
        <v>1215</v>
      </c>
      <c r="S36" s="5"/>
      <c r="T36" s="5"/>
      <c r="U36" s="5"/>
      <c r="V36" s="13" t="n">
        <f aca="false">SUM(Q36:U36)</f>
        <v>3709</v>
      </c>
      <c r="W36" s="5" t="n">
        <v>2494</v>
      </c>
      <c r="X36" s="5" t="n">
        <v>1050</v>
      </c>
      <c r="Y36" s="14" t="n">
        <f aca="false">W36-Q36</f>
        <v>0</v>
      </c>
      <c r="Z36" s="14" t="n">
        <f aca="false">X36-(R36-P36)</f>
        <v>0</v>
      </c>
      <c r="AA36" s="12" t="str">
        <f aca="false">IF(AND(Y36=0,Z36=0),"مطابق",IF(Y36+Z36&gt;0,"زيادة","عجز"))</f>
        <v>مطابق</v>
      </c>
      <c r="AB36" s="13" t="n">
        <f aca="false">V36-P36</f>
        <v>3544</v>
      </c>
    </row>
    <row r="37" customFormat="false" ht="15" hidden="false" customHeight="false" outlineLevel="0" collapsed="false">
      <c r="A37" s="11" t="n">
        <v>46236</v>
      </c>
      <c r="B37" s="12" t="s">
        <v>90</v>
      </c>
      <c r="C37" s="12" t="s">
        <v>93</v>
      </c>
      <c r="D37" s="4" t="s">
        <v>20</v>
      </c>
      <c r="E37" s="4"/>
      <c r="F37" s="5" t="n">
        <v>100</v>
      </c>
      <c r="G37" s="4" t="s">
        <v>13</v>
      </c>
      <c r="H37" s="4" t="s">
        <v>14</v>
      </c>
      <c r="I37" s="5" t="n">
        <v>100</v>
      </c>
      <c r="J37" s="4"/>
      <c r="K37" s="4"/>
      <c r="L37" s="5"/>
      <c r="M37" s="4"/>
      <c r="N37" s="4"/>
      <c r="O37" s="5"/>
      <c r="P37" s="13" t="n">
        <f aca="false">F37+I37+L37+O37</f>
        <v>200</v>
      </c>
      <c r="Q37" s="5" t="n">
        <v>3351</v>
      </c>
      <c r="R37" s="5" t="n">
        <v>838</v>
      </c>
      <c r="S37" s="5" t="n">
        <v>287</v>
      </c>
      <c r="T37" s="5"/>
      <c r="U37" s="5"/>
      <c r="V37" s="13" t="n">
        <f aca="false">SUM(Q37:U37)</f>
        <v>4476</v>
      </c>
      <c r="W37" s="5" t="n">
        <v>3351</v>
      </c>
      <c r="X37" s="5" t="n">
        <v>668</v>
      </c>
      <c r="Y37" s="14" t="n">
        <f aca="false">W37-Q37</f>
        <v>0</v>
      </c>
      <c r="Z37" s="14" t="n">
        <f aca="false">X37-(R37-P37)</f>
        <v>30</v>
      </c>
      <c r="AA37" s="12" t="str">
        <f aca="false">IF(AND(Y37=0,Z37=0),"مطابق",IF(Y37+Z37&gt;0,"زيادة","عجز"))</f>
        <v>زيادة</v>
      </c>
      <c r="AB37" s="13" t="n">
        <f aca="false">V37-P37</f>
        <v>4276</v>
      </c>
    </row>
    <row r="38" customFormat="false" ht="15" hidden="false" customHeight="false" outlineLevel="0" collapsed="false">
      <c r="A38" s="11" t="n">
        <v>46237</v>
      </c>
      <c r="B38" s="12" t="s">
        <v>91</v>
      </c>
      <c r="C38" s="12" t="s">
        <v>93</v>
      </c>
      <c r="D38" s="4" t="s">
        <v>30</v>
      </c>
      <c r="E38" s="4"/>
      <c r="F38" s="5" t="n">
        <v>65</v>
      </c>
      <c r="G38" s="4"/>
      <c r="H38" s="4"/>
      <c r="I38" s="5"/>
      <c r="J38" s="4"/>
      <c r="K38" s="4"/>
      <c r="L38" s="5"/>
      <c r="M38" s="4"/>
      <c r="N38" s="4"/>
      <c r="O38" s="5"/>
      <c r="P38" s="13" t="n">
        <f aca="false">F38+I38+L38+O38</f>
        <v>65</v>
      </c>
      <c r="Q38" s="5" t="n">
        <v>2566</v>
      </c>
      <c r="R38" s="5" t="n">
        <v>469</v>
      </c>
      <c r="S38" s="5"/>
      <c r="T38" s="5" t="n">
        <v>127</v>
      </c>
      <c r="U38" s="5"/>
      <c r="V38" s="13" t="n">
        <f aca="false">SUM(Q38:U38)</f>
        <v>3162</v>
      </c>
      <c r="W38" s="5" t="n">
        <v>2566</v>
      </c>
      <c r="X38" s="5" t="n">
        <v>404</v>
      </c>
      <c r="Y38" s="14" t="n">
        <f aca="false">W38-Q38</f>
        <v>0</v>
      </c>
      <c r="Z38" s="14" t="n">
        <f aca="false">X38-(R38-P38)</f>
        <v>0</v>
      </c>
      <c r="AA38" s="12" t="str">
        <f aca="false">IF(AND(Y38=0,Z38=0),"مطابق",IF(Y38+Z38&gt;0,"زيادة","عجز"))</f>
        <v>مطابق</v>
      </c>
      <c r="AB38" s="13" t="n">
        <f aca="false">V38-P38</f>
        <v>3097</v>
      </c>
    </row>
    <row r="39" customFormat="false" ht="15" hidden="false" customHeight="false" outlineLevel="0" collapsed="false">
      <c r="A39" s="11" t="n">
        <v>46238</v>
      </c>
      <c r="B39" s="12" t="s">
        <v>92</v>
      </c>
      <c r="C39" s="12" t="s">
        <v>93</v>
      </c>
      <c r="D39" s="4" t="s">
        <v>20</v>
      </c>
      <c r="E39" s="4"/>
      <c r="F39" s="5" t="n">
        <v>78</v>
      </c>
      <c r="G39" s="4"/>
      <c r="H39" s="4"/>
      <c r="I39" s="5"/>
      <c r="J39" s="4"/>
      <c r="K39" s="4"/>
      <c r="L39" s="5"/>
      <c r="M39" s="4"/>
      <c r="N39" s="4"/>
      <c r="O39" s="5"/>
      <c r="P39" s="13" t="n">
        <f aca="false">F39+I39+L39+O39</f>
        <v>78</v>
      </c>
      <c r="Q39" s="5" t="n">
        <v>2947</v>
      </c>
      <c r="R39" s="5" t="n">
        <v>848</v>
      </c>
      <c r="S39" s="5"/>
      <c r="T39" s="5"/>
      <c r="U39" s="5" t="n">
        <v>184</v>
      </c>
      <c r="V39" s="13" t="n">
        <f aca="false">SUM(Q39:U39)</f>
        <v>3979</v>
      </c>
      <c r="W39" s="5" t="n">
        <v>2947</v>
      </c>
      <c r="X39" s="5" t="n">
        <v>770</v>
      </c>
      <c r="Y39" s="14" t="n">
        <f aca="false">W39-Q39</f>
        <v>0</v>
      </c>
      <c r="Z39" s="14" t="n">
        <f aca="false">X39-(R39-P39)</f>
        <v>0</v>
      </c>
      <c r="AA39" s="12" t="str">
        <f aca="false">IF(AND(Y39=0,Z39=0),"مطابق",IF(Y39+Z39&gt;0,"زيادة","عجز"))</f>
        <v>مطابق</v>
      </c>
      <c r="AB39" s="13" t="n">
        <f aca="false">V39-P39</f>
        <v>3901</v>
      </c>
    </row>
    <row r="40" customFormat="false" ht="15" hidden="false" customHeight="false" outlineLevel="0" collapsed="false">
      <c r="A40" s="11" t="n">
        <v>46239</v>
      </c>
      <c r="B40" s="12" t="s">
        <v>85</v>
      </c>
      <c r="C40" s="12" t="s">
        <v>93</v>
      </c>
      <c r="D40" s="4" t="s">
        <v>26</v>
      </c>
      <c r="E40" s="4"/>
      <c r="F40" s="5" t="n">
        <v>53</v>
      </c>
      <c r="G40" s="4" t="s">
        <v>20</v>
      </c>
      <c r="H40" s="4"/>
      <c r="I40" s="5" t="n">
        <v>124</v>
      </c>
      <c r="J40" s="4"/>
      <c r="K40" s="4"/>
      <c r="L40" s="5"/>
      <c r="M40" s="4"/>
      <c r="N40" s="4"/>
      <c r="O40" s="5"/>
      <c r="P40" s="13" t="n">
        <f aca="false">F40+I40+L40+O40</f>
        <v>177</v>
      </c>
      <c r="Q40" s="5" t="n">
        <v>1826</v>
      </c>
      <c r="R40" s="5" t="n">
        <v>1254</v>
      </c>
      <c r="S40" s="5"/>
      <c r="T40" s="5"/>
      <c r="U40" s="5"/>
      <c r="V40" s="13" t="n">
        <f aca="false">SUM(Q40:U40)</f>
        <v>3080</v>
      </c>
      <c r="W40" s="5" t="n">
        <v>1826</v>
      </c>
      <c r="X40" s="5" t="n">
        <v>1077</v>
      </c>
      <c r="Y40" s="14" t="n">
        <f aca="false">W40-Q40</f>
        <v>0</v>
      </c>
      <c r="Z40" s="14" t="n">
        <f aca="false">X40-(R40-P40)</f>
        <v>0</v>
      </c>
      <c r="AA40" s="12" t="str">
        <f aca="false">IF(AND(Y40=0,Z40=0),"مطابق",IF(Y40+Z40&gt;0,"زيادة","عجز"))</f>
        <v>مطابق</v>
      </c>
      <c r="AB40" s="13" t="n">
        <f aca="false">V40-P40</f>
        <v>2903</v>
      </c>
    </row>
    <row r="41" customFormat="false" ht="15" hidden="false" customHeight="false" outlineLevel="0" collapsed="false">
      <c r="A41" s="11" t="n">
        <v>46240</v>
      </c>
      <c r="B41" s="12" t="s">
        <v>87</v>
      </c>
      <c r="C41" s="12" t="s">
        <v>93</v>
      </c>
      <c r="D41" s="4" t="s">
        <v>26</v>
      </c>
      <c r="E41" s="4"/>
      <c r="F41" s="5" t="n">
        <v>38</v>
      </c>
      <c r="G41" s="4" t="s">
        <v>20</v>
      </c>
      <c r="H41" s="4"/>
      <c r="I41" s="5" t="n">
        <v>85</v>
      </c>
      <c r="J41" s="4"/>
      <c r="K41" s="4"/>
      <c r="L41" s="5"/>
      <c r="M41" s="4"/>
      <c r="N41" s="4"/>
      <c r="O41" s="5"/>
      <c r="P41" s="13" t="n">
        <f aca="false">F41+I41+L41+O41</f>
        <v>123</v>
      </c>
      <c r="Q41" s="5" t="n">
        <v>4175</v>
      </c>
      <c r="R41" s="5" t="n">
        <v>1527</v>
      </c>
      <c r="S41" s="5"/>
      <c r="T41" s="5"/>
      <c r="U41" s="5"/>
      <c r="V41" s="13" t="n">
        <f aca="false">SUM(Q41:U41)</f>
        <v>5702</v>
      </c>
      <c r="W41" s="5" t="n">
        <v>4175</v>
      </c>
      <c r="X41" s="5" t="n">
        <v>1404</v>
      </c>
      <c r="Y41" s="14" t="n">
        <f aca="false">W41-Q41</f>
        <v>0</v>
      </c>
      <c r="Z41" s="14" t="n">
        <f aca="false">X41-(R41-P41)</f>
        <v>0</v>
      </c>
      <c r="AA41" s="12" t="str">
        <f aca="false">IF(AND(Y41=0,Z41=0),"مطابق",IF(Y41+Z41&gt;0,"زيادة","عجز"))</f>
        <v>مطابق</v>
      </c>
      <c r="AB41" s="13" t="n">
        <f aca="false">V41-P41</f>
        <v>5579</v>
      </c>
    </row>
    <row r="42" customFormat="false" ht="15" hidden="false" customHeight="false" outlineLevel="0" collapsed="false">
      <c r="A42" s="11" t="n">
        <v>46241</v>
      </c>
      <c r="B42" s="12" t="s">
        <v>88</v>
      </c>
      <c r="C42" s="12" t="s">
        <v>93</v>
      </c>
      <c r="D42" s="4" t="s">
        <v>26</v>
      </c>
      <c r="E42" s="4"/>
      <c r="F42" s="5" t="n">
        <v>33</v>
      </c>
      <c r="G42" s="4" t="s">
        <v>13</v>
      </c>
      <c r="H42" s="4" t="s">
        <v>14</v>
      </c>
      <c r="I42" s="5" t="n">
        <v>200</v>
      </c>
      <c r="J42" s="4" t="s">
        <v>20</v>
      </c>
      <c r="K42" s="4"/>
      <c r="L42" s="5" t="n">
        <v>150</v>
      </c>
      <c r="M42" s="4"/>
      <c r="N42" s="4"/>
      <c r="O42" s="5"/>
      <c r="P42" s="13" t="n">
        <f aca="false">F42+I42+L42+O42</f>
        <v>383</v>
      </c>
      <c r="Q42" s="5" t="n">
        <v>2507</v>
      </c>
      <c r="R42" s="5" t="n">
        <v>1709</v>
      </c>
      <c r="S42" s="5" t="n">
        <v>413</v>
      </c>
      <c r="T42" s="5"/>
      <c r="U42" s="5"/>
      <c r="V42" s="13" t="n">
        <f aca="false">SUM(Q42:U42)</f>
        <v>4629</v>
      </c>
      <c r="W42" s="5" t="n">
        <v>2507</v>
      </c>
      <c r="X42" s="5" t="n">
        <v>1320</v>
      </c>
      <c r="Y42" s="14" t="n">
        <f aca="false">W42-Q42</f>
        <v>0</v>
      </c>
      <c r="Z42" s="14" t="n">
        <f aca="false">X42-(R42-P42)</f>
        <v>-6</v>
      </c>
      <c r="AA42" s="12" t="str">
        <f aca="false">IF(AND(Y42=0,Z42=0),"مطابق",IF(Y42+Z42&gt;0,"زيادة","عجز"))</f>
        <v>عجز</v>
      </c>
      <c r="AB42" s="13" t="n">
        <f aca="false">V42-P42</f>
        <v>4246</v>
      </c>
    </row>
    <row r="43" customFormat="false" ht="15" hidden="false" customHeight="false" outlineLevel="0" collapsed="false">
      <c r="A43" s="11" t="n">
        <v>46242</v>
      </c>
      <c r="B43" s="12" t="s">
        <v>89</v>
      </c>
      <c r="C43" s="12" t="s">
        <v>93</v>
      </c>
      <c r="D43" s="4" t="s">
        <v>13</v>
      </c>
      <c r="E43" s="4" t="s">
        <v>31</v>
      </c>
      <c r="F43" s="5" t="n">
        <v>100</v>
      </c>
      <c r="G43" s="4"/>
      <c r="H43" s="4"/>
      <c r="I43" s="5"/>
      <c r="J43" s="4"/>
      <c r="K43" s="4"/>
      <c r="L43" s="5"/>
      <c r="M43" s="4"/>
      <c r="N43" s="4"/>
      <c r="O43" s="5"/>
      <c r="P43" s="13" t="n">
        <f aca="false">F43+I43+L43+O43</f>
        <v>100</v>
      </c>
      <c r="Q43" s="5" t="n">
        <v>2734</v>
      </c>
      <c r="R43" s="5" t="n">
        <v>652</v>
      </c>
      <c r="S43" s="5" t="n">
        <v>359</v>
      </c>
      <c r="T43" s="5" t="n">
        <v>212</v>
      </c>
      <c r="U43" s="5"/>
      <c r="V43" s="13" t="n">
        <f aca="false">SUM(Q43:U43)</f>
        <v>3957</v>
      </c>
      <c r="W43" s="5" t="n">
        <v>2734</v>
      </c>
      <c r="X43" s="5" t="n">
        <v>552</v>
      </c>
      <c r="Y43" s="14" t="n">
        <f aca="false">W43-Q43</f>
        <v>0</v>
      </c>
      <c r="Z43" s="14" t="n">
        <f aca="false">X43-(R43-P43)</f>
        <v>0</v>
      </c>
      <c r="AA43" s="12" t="str">
        <f aca="false">IF(AND(Y43=0,Z43=0),"مطابق",IF(Y43+Z43&gt;0,"زيادة","عجز"))</f>
        <v>مطابق</v>
      </c>
      <c r="AB43" s="13" t="n">
        <f aca="false">V43-P43</f>
        <v>3857</v>
      </c>
    </row>
    <row r="44" customFormat="false" ht="15" hidden="false" customHeight="false" outlineLevel="0" collapsed="false">
      <c r="A44" s="11" t="n">
        <v>46243</v>
      </c>
      <c r="B44" s="12" t="s">
        <v>90</v>
      </c>
      <c r="C44" s="12" t="s">
        <v>93</v>
      </c>
      <c r="D44" s="4" t="s">
        <v>26</v>
      </c>
      <c r="E44" s="4"/>
      <c r="F44" s="5" t="n">
        <v>45</v>
      </c>
      <c r="G44" s="4"/>
      <c r="H44" s="4"/>
      <c r="I44" s="5"/>
      <c r="J44" s="4"/>
      <c r="K44" s="4"/>
      <c r="L44" s="5"/>
      <c r="M44" s="4"/>
      <c r="N44" s="4"/>
      <c r="O44" s="5"/>
      <c r="P44" s="13" t="n">
        <f aca="false">F44+I44+L44+O44</f>
        <v>45</v>
      </c>
      <c r="Q44" s="5" t="n">
        <v>2119</v>
      </c>
      <c r="R44" s="5" t="n">
        <v>1093</v>
      </c>
      <c r="S44" s="5" t="n">
        <v>216</v>
      </c>
      <c r="T44" s="5" t="n">
        <v>290</v>
      </c>
      <c r="U44" s="5"/>
      <c r="V44" s="13" t="n">
        <f aca="false">SUM(Q44:U44)</f>
        <v>3718</v>
      </c>
      <c r="W44" s="5" t="n">
        <v>2119</v>
      </c>
      <c r="X44" s="5" t="n">
        <v>1048</v>
      </c>
      <c r="Y44" s="14" t="n">
        <f aca="false">W44-Q44</f>
        <v>0</v>
      </c>
      <c r="Z44" s="14" t="n">
        <f aca="false">X44-(R44-P44)</f>
        <v>0</v>
      </c>
      <c r="AA44" s="12" t="str">
        <f aca="false">IF(AND(Y44=0,Z44=0),"مطابق",IF(Y44+Z44&gt;0,"زيادة","عجز"))</f>
        <v>مطابق</v>
      </c>
      <c r="AB44" s="13" t="n">
        <f aca="false">V44-P44</f>
        <v>3673</v>
      </c>
    </row>
    <row r="45" customFormat="false" ht="15" hidden="false" customHeight="false" outlineLevel="0" collapsed="false">
      <c r="A45" s="11" t="n">
        <v>46244</v>
      </c>
      <c r="B45" s="12" t="s">
        <v>91</v>
      </c>
      <c r="C45" s="12" t="s">
        <v>93</v>
      </c>
      <c r="D45" s="4" t="s">
        <v>30</v>
      </c>
      <c r="E45" s="4"/>
      <c r="F45" s="5" t="n">
        <v>36</v>
      </c>
      <c r="G45" s="4" t="s">
        <v>13</v>
      </c>
      <c r="H45" s="4" t="s">
        <v>31</v>
      </c>
      <c r="I45" s="5" t="n">
        <v>150</v>
      </c>
      <c r="J45" s="4" t="s">
        <v>20</v>
      </c>
      <c r="K45" s="4"/>
      <c r="L45" s="5" t="n">
        <v>108</v>
      </c>
      <c r="M45" s="4"/>
      <c r="N45" s="4"/>
      <c r="O45" s="5"/>
      <c r="P45" s="13" t="n">
        <f aca="false">F45+I45+L45+O45</f>
        <v>294</v>
      </c>
      <c r="Q45" s="5" t="n">
        <v>2680</v>
      </c>
      <c r="R45" s="5" t="n">
        <v>568</v>
      </c>
      <c r="S45" s="5"/>
      <c r="T45" s="5" t="n">
        <v>371</v>
      </c>
      <c r="U45" s="5"/>
      <c r="V45" s="13" t="n">
        <f aca="false">SUM(Q45:U45)</f>
        <v>3619</v>
      </c>
      <c r="W45" s="5" t="n">
        <v>2680</v>
      </c>
      <c r="X45" s="5" t="n">
        <v>274</v>
      </c>
      <c r="Y45" s="14" t="n">
        <f aca="false">W45-Q45</f>
        <v>0</v>
      </c>
      <c r="Z45" s="14" t="n">
        <f aca="false">X45-(R45-P45)</f>
        <v>0</v>
      </c>
      <c r="AA45" s="12" t="str">
        <f aca="false">IF(AND(Y45=0,Z45=0),"مطابق",IF(Y45+Z45&gt;0,"زيادة","عجز"))</f>
        <v>مطابق</v>
      </c>
      <c r="AB45" s="13" t="n">
        <f aca="false">V45-P45</f>
        <v>3325</v>
      </c>
    </row>
    <row r="46" customFormat="false" ht="15" hidden="false" customHeight="false" outlineLevel="0" collapsed="false">
      <c r="A46" s="11" t="n">
        <v>46245</v>
      </c>
      <c r="B46" s="12" t="s">
        <v>92</v>
      </c>
      <c r="C46" s="12" t="s">
        <v>93</v>
      </c>
      <c r="D46" s="4" t="s">
        <v>20</v>
      </c>
      <c r="E46" s="4"/>
      <c r="F46" s="5" t="n">
        <v>67</v>
      </c>
      <c r="G46" s="4"/>
      <c r="H46" s="4"/>
      <c r="I46" s="5"/>
      <c r="J46" s="4"/>
      <c r="K46" s="4"/>
      <c r="L46" s="5"/>
      <c r="M46" s="4"/>
      <c r="N46" s="4"/>
      <c r="O46" s="5"/>
      <c r="P46" s="13" t="n">
        <f aca="false">F46+I46+L46+O46</f>
        <v>67</v>
      </c>
      <c r="Q46" s="5" t="n">
        <v>2744</v>
      </c>
      <c r="R46" s="5" t="n">
        <v>656</v>
      </c>
      <c r="S46" s="5"/>
      <c r="T46" s="5" t="n">
        <v>278</v>
      </c>
      <c r="U46" s="5"/>
      <c r="V46" s="13" t="n">
        <f aca="false">SUM(Q46:U46)</f>
        <v>3678</v>
      </c>
      <c r="W46" s="5" t="n">
        <v>2744</v>
      </c>
      <c r="X46" s="5" t="n">
        <v>589</v>
      </c>
      <c r="Y46" s="14" t="n">
        <f aca="false">W46-Q46</f>
        <v>0</v>
      </c>
      <c r="Z46" s="14" t="n">
        <f aca="false">X46-(R46-P46)</f>
        <v>0</v>
      </c>
      <c r="AA46" s="12" t="str">
        <f aca="false">IF(AND(Y46=0,Z46=0),"مطابق",IF(Y46+Z46&gt;0,"زيادة","عجز"))</f>
        <v>مطابق</v>
      </c>
      <c r="AB46" s="13" t="n">
        <f aca="false">V46-P46</f>
        <v>3611</v>
      </c>
    </row>
    <row r="47" customFormat="false" ht="15" hidden="false" customHeight="false" outlineLevel="0" collapsed="false">
      <c r="A47" s="11" t="n">
        <v>46246</v>
      </c>
      <c r="B47" s="12" t="s">
        <v>85</v>
      </c>
      <c r="C47" s="12" t="s">
        <v>93</v>
      </c>
      <c r="D47" s="4" t="s">
        <v>26</v>
      </c>
      <c r="E47" s="4"/>
      <c r="F47" s="5" t="n">
        <v>43</v>
      </c>
      <c r="G47" s="4" t="s">
        <v>20</v>
      </c>
      <c r="H47" s="4"/>
      <c r="I47" s="5" t="n">
        <v>94</v>
      </c>
      <c r="J47" s="4"/>
      <c r="K47" s="4"/>
      <c r="L47" s="5"/>
      <c r="M47" s="4"/>
      <c r="N47" s="4"/>
      <c r="O47" s="5"/>
      <c r="P47" s="13" t="n">
        <f aca="false">F47+I47+L47+O47</f>
        <v>137</v>
      </c>
      <c r="Q47" s="5" t="n">
        <v>3317</v>
      </c>
      <c r="R47" s="5" t="n">
        <v>774</v>
      </c>
      <c r="S47" s="5"/>
      <c r="T47" s="5"/>
      <c r="U47" s="5"/>
      <c r="V47" s="13" t="n">
        <f aca="false">SUM(Q47:U47)</f>
        <v>4091</v>
      </c>
      <c r="W47" s="5" t="n">
        <v>3317</v>
      </c>
      <c r="X47" s="5" t="n">
        <v>637</v>
      </c>
      <c r="Y47" s="14" t="n">
        <f aca="false">W47-Q47</f>
        <v>0</v>
      </c>
      <c r="Z47" s="14" t="n">
        <f aca="false">X47-(R47-P47)</f>
        <v>0</v>
      </c>
      <c r="AA47" s="12" t="str">
        <f aca="false">IF(AND(Y47=0,Z47=0),"مطابق",IF(Y47+Z47&gt;0,"زيادة","عجز"))</f>
        <v>مطابق</v>
      </c>
      <c r="AB47" s="13" t="n">
        <f aca="false">V47-P47</f>
        <v>3954</v>
      </c>
    </row>
    <row r="48" customFormat="false" ht="15" hidden="false" customHeight="false" outlineLevel="0" collapsed="false">
      <c r="A48" s="11" t="n">
        <v>46247</v>
      </c>
      <c r="B48" s="12" t="s">
        <v>87</v>
      </c>
      <c r="C48" s="12" t="s">
        <v>93</v>
      </c>
      <c r="D48" s="4" t="s">
        <v>26</v>
      </c>
      <c r="E48" s="4"/>
      <c r="F48" s="5" t="n">
        <v>21</v>
      </c>
      <c r="G48" s="4"/>
      <c r="H48" s="4"/>
      <c r="I48" s="5"/>
      <c r="J48" s="4"/>
      <c r="K48" s="4"/>
      <c r="L48" s="5"/>
      <c r="M48" s="4"/>
      <c r="N48" s="4"/>
      <c r="O48" s="5"/>
      <c r="P48" s="13" t="n">
        <f aca="false">F48+I48+L48+O48</f>
        <v>21</v>
      </c>
      <c r="Q48" s="5" t="n">
        <v>4197</v>
      </c>
      <c r="R48" s="5" t="n">
        <v>724</v>
      </c>
      <c r="S48" s="5"/>
      <c r="T48" s="5"/>
      <c r="U48" s="5" t="n">
        <v>243</v>
      </c>
      <c r="V48" s="13" t="n">
        <f aca="false">SUM(Q48:U48)</f>
        <v>5164</v>
      </c>
      <c r="W48" s="5" t="n">
        <v>4197</v>
      </c>
      <c r="X48" s="5" t="n">
        <v>712</v>
      </c>
      <c r="Y48" s="14" t="n">
        <f aca="false">W48-Q48</f>
        <v>0</v>
      </c>
      <c r="Z48" s="14" t="n">
        <f aca="false">X48-(R48-P48)</f>
        <v>9</v>
      </c>
      <c r="AA48" s="12" t="str">
        <f aca="false">IF(AND(Y48=0,Z48=0),"مطابق",IF(Y48+Z48&gt;0,"زيادة","عجز"))</f>
        <v>زيادة</v>
      </c>
      <c r="AB48" s="13" t="n">
        <f aca="false">V48-P48</f>
        <v>5143</v>
      </c>
    </row>
    <row r="49" customFormat="false" ht="15" hidden="false" customHeight="false" outlineLevel="0" collapsed="false">
      <c r="A49" s="11" t="n">
        <v>46248</v>
      </c>
      <c r="B49" s="12" t="s">
        <v>88</v>
      </c>
      <c r="C49" s="12" t="s">
        <v>93</v>
      </c>
      <c r="D49" s="4" t="s">
        <v>13</v>
      </c>
      <c r="E49" s="4" t="s">
        <v>34</v>
      </c>
      <c r="F49" s="5" t="n">
        <v>200</v>
      </c>
      <c r="G49" s="4" t="s">
        <v>13</v>
      </c>
      <c r="H49" s="4" t="s">
        <v>21</v>
      </c>
      <c r="I49" s="5" t="n">
        <v>300</v>
      </c>
      <c r="J49" s="4"/>
      <c r="K49" s="4"/>
      <c r="L49" s="5"/>
      <c r="M49" s="4"/>
      <c r="N49" s="4"/>
      <c r="O49" s="5"/>
      <c r="P49" s="13" t="n">
        <f aca="false">F49+I49+L49+O49</f>
        <v>500</v>
      </c>
      <c r="Q49" s="5" t="n">
        <v>3589</v>
      </c>
      <c r="R49" s="5" t="n">
        <v>846</v>
      </c>
      <c r="S49" s="5" t="n">
        <v>267</v>
      </c>
      <c r="T49" s="5" t="n">
        <v>260</v>
      </c>
      <c r="U49" s="5"/>
      <c r="V49" s="13" t="n">
        <f aca="false">SUM(Q49:U49)</f>
        <v>4962</v>
      </c>
      <c r="W49" s="5" t="n">
        <v>3589</v>
      </c>
      <c r="X49" s="5" t="n">
        <v>346</v>
      </c>
      <c r="Y49" s="14" t="n">
        <f aca="false">W49-Q49</f>
        <v>0</v>
      </c>
      <c r="Z49" s="14" t="n">
        <f aca="false">X49-(R49-P49)</f>
        <v>0</v>
      </c>
      <c r="AA49" s="12" t="str">
        <f aca="false">IF(AND(Y49=0,Z49=0),"مطابق",IF(Y49+Z49&gt;0,"زيادة","عجز"))</f>
        <v>مطابق</v>
      </c>
      <c r="AB49" s="13" t="n">
        <f aca="false">V49-P49</f>
        <v>4462</v>
      </c>
    </row>
    <row r="50" customFormat="false" ht="15" hidden="false" customHeight="false" outlineLevel="0" collapsed="false">
      <c r="A50" s="11" t="n">
        <v>46249</v>
      </c>
      <c r="B50" s="12" t="s">
        <v>89</v>
      </c>
      <c r="C50" s="12" t="s">
        <v>93</v>
      </c>
      <c r="D50" s="4" t="s">
        <v>26</v>
      </c>
      <c r="E50" s="4"/>
      <c r="F50" s="5" t="n">
        <v>39</v>
      </c>
      <c r="G50" s="4" t="s">
        <v>13</v>
      </c>
      <c r="H50" s="4" t="s">
        <v>31</v>
      </c>
      <c r="I50" s="5" t="n">
        <v>300</v>
      </c>
      <c r="J50" s="4" t="s">
        <v>30</v>
      </c>
      <c r="K50" s="4"/>
      <c r="L50" s="5" t="n">
        <v>75</v>
      </c>
      <c r="M50" s="4"/>
      <c r="N50" s="4"/>
      <c r="O50" s="5"/>
      <c r="P50" s="13" t="n">
        <f aca="false">F50+I50+L50+O50</f>
        <v>414</v>
      </c>
      <c r="Q50" s="5" t="n">
        <v>2981</v>
      </c>
      <c r="R50" s="5" t="n">
        <v>1130</v>
      </c>
      <c r="S50" s="5" t="n">
        <v>255</v>
      </c>
      <c r="T50" s="5" t="n">
        <v>197</v>
      </c>
      <c r="U50" s="5"/>
      <c r="V50" s="13" t="n">
        <f aca="false">SUM(Q50:U50)</f>
        <v>4563</v>
      </c>
      <c r="W50" s="5" t="n">
        <v>2981</v>
      </c>
      <c r="X50" s="5" t="n">
        <v>716</v>
      </c>
      <c r="Y50" s="14" t="n">
        <f aca="false">W50-Q50</f>
        <v>0</v>
      </c>
      <c r="Z50" s="14" t="n">
        <f aca="false">X50-(R50-P50)</f>
        <v>0</v>
      </c>
      <c r="AA50" s="12" t="str">
        <f aca="false">IF(AND(Y50=0,Z50=0),"مطابق",IF(Y50+Z50&gt;0,"زيادة","عجز"))</f>
        <v>مطابق</v>
      </c>
      <c r="AB50" s="13" t="n">
        <f aca="false">V50-P50</f>
        <v>4149</v>
      </c>
    </row>
    <row r="51" customFormat="false" ht="15" hidden="false" customHeight="false" outlineLevel="0" collapsed="false">
      <c r="A51" s="11" t="n">
        <v>46250</v>
      </c>
      <c r="B51" s="12" t="s">
        <v>90</v>
      </c>
      <c r="C51" s="12" t="s">
        <v>93</v>
      </c>
      <c r="D51" s="4" t="s">
        <v>13</v>
      </c>
      <c r="E51" s="4" t="s">
        <v>31</v>
      </c>
      <c r="F51" s="5" t="n">
        <v>100</v>
      </c>
      <c r="G51" s="4"/>
      <c r="H51" s="4"/>
      <c r="I51" s="5"/>
      <c r="J51" s="4"/>
      <c r="K51" s="4"/>
      <c r="L51" s="5"/>
      <c r="M51" s="4"/>
      <c r="N51" s="4"/>
      <c r="O51" s="5"/>
      <c r="P51" s="13" t="n">
        <f aca="false">F51+I51+L51+O51</f>
        <v>100</v>
      </c>
      <c r="Q51" s="5" t="n">
        <v>2585</v>
      </c>
      <c r="R51" s="5" t="n">
        <v>785</v>
      </c>
      <c r="S51" s="5"/>
      <c r="T51" s="5"/>
      <c r="U51" s="5"/>
      <c r="V51" s="13" t="n">
        <f aca="false">SUM(Q51:U51)</f>
        <v>3370</v>
      </c>
      <c r="W51" s="5" t="n">
        <v>2585</v>
      </c>
      <c r="X51" s="5" t="n">
        <v>685</v>
      </c>
      <c r="Y51" s="14" t="n">
        <f aca="false">W51-Q51</f>
        <v>0</v>
      </c>
      <c r="Z51" s="14" t="n">
        <f aca="false">X51-(R51-P51)</f>
        <v>0</v>
      </c>
      <c r="AA51" s="12" t="str">
        <f aca="false">IF(AND(Y51=0,Z51=0),"مطابق",IF(Y51+Z51&gt;0,"زيادة","عجز"))</f>
        <v>مطابق</v>
      </c>
      <c r="AB51" s="13" t="n">
        <f aca="false">V51-P51</f>
        <v>3270</v>
      </c>
    </row>
    <row r="52" customFormat="false" ht="15" hidden="false" customHeight="false" outlineLevel="0" collapsed="false">
      <c r="A52" s="11" t="n">
        <v>46251</v>
      </c>
      <c r="B52" s="12" t="s">
        <v>91</v>
      </c>
      <c r="C52" s="12" t="s">
        <v>93</v>
      </c>
      <c r="D52" s="4" t="s">
        <v>26</v>
      </c>
      <c r="E52" s="4"/>
      <c r="F52" s="5" t="n">
        <v>36</v>
      </c>
      <c r="G52" s="4"/>
      <c r="H52" s="4"/>
      <c r="I52" s="5"/>
      <c r="J52" s="4"/>
      <c r="K52" s="4"/>
      <c r="L52" s="5"/>
      <c r="M52" s="4"/>
      <c r="N52" s="4"/>
      <c r="O52" s="5"/>
      <c r="P52" s="13" t="n">
        <f aca="false">F52+I52+L52+O52</f>
        <v>36</v>
      </c>
      <c r="Q52" s="5" t="n">
        <v>2314</v>
      </c>
      <c r="R52" s="5" t="n">
        <v>1213</v>
      </c>
      <c r="S52" s="5"/>
      <c r="T52" s="5"/>
      <c r="U52" s="5" t="n">
        <v>192</v>
      </c>
      <c r="V52" s="13" t="n">
        <f aca="false">SUM(Q52:U52)</f>
        <v>3719</v>
      </c>
      <c r="W52" s="5" t="n">
        <v>2314</v>
      </c>
      <c r="X52" s="5" t="n">
        <v>1177</v>
      </c>
      <c r="Y52" s="14" t="n">
        <f aca="false">W52-Q52</f>
        <v>0</v>
      </c>
      <c r="Z52" s="14" t="n">
        <f aca="false">X52-(R52-P52)</f>
        <v>0</v>
      </c>
      <c r="AA52" s="12" t="str">
        <f aca="false">IF(AND(Y52=0,Z52=0),"مطابق",IF(Y52+Z52&gt;0,"زيادة","عجز"))</f>
        <v>مطابق</v>
      </c>
      <c r="AB52" s="13" t="n">
        <f aca="false">V52-P52</f>
        <v>3683</v>
      </c>
    </row>
    <row r="53" customFormat="false" ht="15" hidden="false" customHeight="false" outlineLevel="0" collapsed="false">
      <c r="A53" s="11" t="n">
        <v>46252</v>
      </c>
      <c r="B53" s="12" t="s">
        <v>92</v>
      </c>
      <c r="C53" s="12" t="s">
        <v>93</v>
      </c>
      <c r="D53" s="4" t="s">
        <v>13</v>
      </c>
      <c r="E53" s="4" t="s">
        <v>31</v>
      </c>
      <c r="F53" s="5" t="n">
        <v>300</v>
      </c>
      <c r="G53" s="4"/>
      <c r="H53" s="4"/>
      <c r="I53" s="5"/>
      <c r="J53" s="4"/>
      <c r="K53" s="4"/>
      <c r="L53" s="5"/>
      <c r="M53" s="4"/>
      <c r="N53" s="4"/>
      <c r="O53" s="5"/>
      <c r="P53" s="13" t="n">
        <f aca="false">F53+I53+L53+O53</f>
        <v>300</v>
      </c>
      <c r="Q53" s="5" t="n">
        <v>2039</v>
      </c>
      <c r="R53" s="5" t="n">
        <v>846</v>
      </c>
      <c r="S53" s="5"/>
      <c r="T53" s="5" t="n">
        <v>359</v>
      </c>
      <c r="U53" s="5"/>
      <c r="V53" s="13" t="n">
        <f aca="false">SUM(Q53:U53)</f>
        <v>3244</v>
      </c>
      <c r="W53" s="5" t="n">
        <v>2039</v>
      </c>
      <c r="X53" s="5" t="n">
        <v>546</v>
      </c>
      <c r="Y53" s="14" t="n">
        <f aca="false">W53-Q53</f>
        <v>0</v>
      </c>
      <c r="Z53" s="14" t="n">
        <f aca="false">X53-(R53-P53)</f>
        <v>0</v>
      </c>
      <c r="AA53" s="12" t="str">
        <f aca="false">IF(AND(Y53=0,Z53=0),"مطابق",IF(Y53+Z53&gt;0,"زيادة","عجز"))</f>
        <v>مطابق</v>
      </c>
      <c r="AB53" s="13" t="n">
        <f aca="false">V53-P53</f>
        <v>2944</v>
      </c>
    </row>
    <row r="54" customFormat="false" ht="15" hidden="false" customHeight="false" outlineLevel="0" collapsed="false">
      <c r="A54" s="11" t="n">
        <v>46253</v>
      </c>
      <c r="B54" s="12" t="s">
        <v>85</v>
      </c>
      <c r="C54" s="12" t="s">
        <v>93</v>
      </c>
      <c r="D54" s="4" t="s">
        <v>13</v>
      </c>
      <c r="E54" s="4" t="s">
        <v>21</v>
      </c>
      <c r="F54" s="5" t="n">
        <v>200</v>
      </c>
      <c r="G54" s="4"/>
      <c r="H54" s="4"/>
      <c r="I54" s="5"/>
      <c r="J54" s="4"/>
      <c r="K54" s="4"/>
      <c r="L54" s="5"/>
      <c r="M54" s="4"/>
      <c r="N54" s="4"/>
      <c r="O54" s="5"/>
      <c r="P54" s="13" t="n">
        <f aca="false">F54+I54+L54+O54</f>
        <v>200</v>
      </c>
      <c r="Q54" s="5" t="n">
        <v>1958</v>
      </c>
      <c r="R54" s="5" t="n">
        <v>490</v>
      </c>
      <c r="S54" s="5" t="n">
        <v>142</v>
      </c>
      <c r="T54" s="5"/>
      <c r="U54" s="5"/>
      <c r="V54" s="13" t="n">
        <f aca="false">SUM(Q54:U54)</f>
        <v>2590</v>
      </c>
      <c r="W54" s="5" t="n">
        <v>1951</v>
      </c>
      <c r="X54" s="5" t="n">
        <v>290</v>
      </c>
      <c r="Y54" s="14" t="n">
        <f aca="false">W54-Q54</f>
        <v>-7</v>
      </c>
      <c r="Z54" s="14" t="n">
        <f aca="false">X54-(R54-P54)</f>
        <v>0</v>
      </c>
      <c r="AA54" s="12" t="str">
        <f aca="false">IF(AND(Y54=0,Z54=0),"مطابق",IF(Y54+Z54&gt;0,"زيادة","عجز"))</f>
        <v>عجز</v>
      </c>
      <c r="AB54" s="13" t="n">
        <f aca="false">V54-P54</f>
        <v>2390</v>
      </c>
    </row>
    <row r="55" customFormat="false" ht="15" hidden="false" customHeight="false" outlineLevel="0" collapsed="false">
      <c r="A55" s="11" t="n">
        <v>46254</v>
      </c>
      <c r="B55" s="12" t="s">
        <v>87</v>
      </c>
      <c r="C55" s="12" t="s">
        <v>93</v>
      </c>
      <c r="D55" s="4" t="s">
        <v>26</v>
      </c>
      <c r="E55" s="4"/>
      <c r="F55" s="5" t="n">
        <v>31</v>
      </c>
      <c r="G55" s="4"/>
      <c r="H55" s="4"/>
      <c r="I55" s="5"/>
      <c r="J55" s="4"/>
      <c r="K55" s="4"/>
      <c r="L55" s="5"/>
      <c r="M55" s="4"/>
      <c r="N55" s="4"/>
      <c r="O55" s="5"/>
      <c r="P55" s="13" t="n">
        <f aca="false">F55+I55+L55+O55</f>
        <v>31</v>
      </c>
      <c r="Q55" s="5" t="n">
        <v>4055</v>
      </c>
      <c r="R55" s="5" t="n">
        <v>1079</v>
      </c>
      <c r="S55" s="5" t="n">
        <v>295</v>
      </c>
      <c r="T55" s="5"/>
      <c r="U55" s="5"/>
      <c r="V55" s="13" t="n">
        <f aca="false">SUM(Q55:U55)</f>
        <v>5429</v>
      </c>
      <c r="W55" s="5" t="n">
        <v>4055</v>
      </c>
      <c r="X55" s="5" t="n">
        <v>1048</v>
      </c>
      <c r="Y55" s="14" t="n">
        <f aca="false">W55-Q55</f>
        <v>0</v>
      </c>
      <c r="Z55" s="14" t="n">
        <f aca="false">X55-(R55-P55)</f>
        <v>0</v>
      </c>
      <c r="AA55" s="12" t="str">
        <f aca="false">IF(AND(Y55=0,Z55=0),"مطابق",IF(Y55+Z55&gt;0,"زيادة","عجز"))</f>
        <v>مطابق</v>
      </c>
      <c r="AB55" s="13" t="n">
        <f aca="false">V55-P55</f>
        <v>5398</v>
      </c>
    </row>
    <row r="56" customFormat="false" ht="15" hidden="false" customHeight="false" outlineLevel="0" collapsed="false">
      <c r="A56" s="11" t="n">
        <v>46255</v>
      </c>
      <c r="B56" s="12" t="s">
        <v>88</v>
      </c>
      <c r="C56" s="12" t="s">
        <v>93</v>
      </c>
      <c r="D56" s="4" t="s">
        <v>20</v>
      </c>
      <c r="E56" s="4"/>
      <c r="F56" s="5" t="n">
        <v>30</v>
      </c>
      <c r="G56" s="4" t="s">
        <v>20</v>
      </c>
      <c r="H56" s="4"/>
      <c r="I56" s="5" t="n">
        <v>61</v>
      </c>
      <c r="J56" s="4"/>
      <c r="K56" s="4"/>
      <c r="L56" s="5"/>
      <c r="M56" s="4"/>
      <c r="N56" s="4"/>
      <c r="O56" s="5"/>
      <c r="P56" s="13" t="n">
        <f aca="false">F56+I56+L56+O56</f>
        <v>91</v>
      </c>
      <c r="Q56" s="5" t="n">
        <v>3057</v>
      </c>
      <c r="R56" s="5" t="n">
        <v>1455</v>
      </c>
      <c r="S56" s="5"/>
      <c r="T56" s="5" t="n">
        <v>304</v>
      </c>
      <c r="U56" s="5"/>
      <c r="V56" s="13" t="n">
        <f aca="false">SUM(Q56:U56)</f>
        <v>4816</v>
      </c>
      <c r="W56" s="5" t="n">
        <v>3057</v>
      </c>
      <c r="X56" s="5" t="n">
        <v>1364</v>
      </c>
      <c r="Y56" s="14" t="n">
        <f aca="false">W56-Q56</f>
        <v>0</v>
      </c>
      <c r="Z56" s="14" t="n">
        <f aca="false">X56-(R56-P56)</f>
        <v>0</v>
      </c>
      <c r="AA56" s="12" t="str">
        <f aca="false">IF(AND(Y56=0,Z56=0),"مطابق",IF(Y56+Z56&gt;0,"زيادة","عجز"))</f>
        <v>مطابق</v>
      </c>
      <c r="AB56" s="13" t="n">
        <f aca="false">V56-P56</f>
        <v>4725</v>
      </c>
    </row>
    <row r="57" customFormat="false" ht="15" hidden="false" customHeight="false" outlineLevel="0" collapsed="false">
      <c r="A57" s="11" t="n">
        <v>46256</v>
      </c>
      <c r="B57" s="12" t="s">
        <v>89</v>
      </c>
      <c r="C57" s="12" t="s">
        <v>93</v>
      </c>
      <c r="D57" s="4" t="s">
        <v>13</v>
      </c>
      <c r="E57" s="4" t="s">
        <v>27</v>
      </c>
      <c r="F57" s="5" t="n">
        <v>300</v>
      </c>
      <c r="G57" s="4" t="s">
        <v>20</v>
      </c>
      <c r="H57" s="4"/>
      <c r="I57" s="5" t="n">
        <v>135</v>
      </c>
      <c r="J57" s="4"/>
      <c r="K57" s="4"/>
      <c r="L57" s="5"/>
      <c r="M57" s="4"/>
      <c r="N57" s="4"/>
      <c r="O57" s="5"/>
      <c r="P57" s="13" t="n">
        <f aca="false">F57+I57+L57+O57</f>
        <v>435</v>
      </c>
      <c r="Q57" s="5" t="n">
        <v>2774</v>
      </c>
      <c r="R57" s="5" t="n">
        <v>1024</v>
      </c>
      <c r="S57" s="5"/>
      <c r="T57" s="5" t="n">
        <v>316</v>
      </c>
      <c r="U57" s="5" t="n">
        <v>217</v>
      </c>
      <c r="V57" s="13" t="n">
        <f aca="false">SUM(Q57:U57)</f>
        <v>4331</v>
      </c>
      <c r="W57" s="5" t="n">
        <v>2774</v>
      </c>
      <c r="X57" s="5" t="n">
        <v>589</v>
      </c>
      <c r="Y57" s="14" t="n">
        <f aca="false">W57-Q57</f>
        <v>0</v>
      </c>
      <c r="Z57" s="14" t="n">
        <f aca="false">X57-(R57-P57)</f>
        <v>0</v>
      </c>
      <c r="AA57" s="12" t="str">
        <f aca="false">IF(AND(Y57=0,Z57=0),"مطابق",IF(Y57+Z57&gt;0,"زيادة","عجز"))</f>
        <v>مطابق</v>
      </c>
      <c r="AB57" s="13" t="n">
        <f aca="false">V57-P57</f>
        <v>3896</v>
      </c>
    </row>
    <row r="58" customFormat="false" ht="15" hidden="false" customHeight="false" outlineLevel="0" collapsed="false">
      <c r="A58" s="11" t="n">
        <v>46257</v>
      </c>
      <c r="B58" s="12" t="s">
        <v>90</v>
      </c>
      <c r="C58" s="12" t="s">
        <v>93</v>
      </c>
      <c r="D58" s="4" t="s">
        <v>13</v>
      </c>
      <c r="E58" s="4" t="s">
        <v>21</v>
      </c>
      <c r="F58" s="5" t="n">
        <v>100</v>
      </c>
      <c r="G58" s="4"/>
      <c r="H58" s="4"/>
      <c r="I58" s="5"/>
      <c r="J58" s="4"/>
      <c r="K58" s="4"/>
      <c r="L58" s="5"/>
      <c r="M58" s="4"/>
      <c r="N58" s="4"/>
      <c r="O58" s="5"/>
      <c r="P58" s="13" t="n">
        <f aca="false">F58+I58+L58+O58</f>
        <v>100</v>
      </c>
      <c r="Q58" s="5" t="n">
        <v>3069</v>
      </c>
      <c r="R58" s="5" t="n">
        <v>549</v>
      </c>
      <c r="S58" s="5"/>
      <c r="T58" s="5"/>
      <c r="U58" s="5"/>
      <c r="V58" s="13" t="n">
        <f aca="false">SUM(Q58:U58)</f>
        <v>3618</v>
      </c>
      <c r="W58" s="5" t="n">
        <v>3069</v>
      </c>
      <c r="X58" s="5" t="n">
        <v>457</v>
      </c>
      <c r="Y58" s="14" t="n">
        <f aca="false">W58-Q58</f>
        <v>0</v>
      </c>
      <c r="Z58" s="14" t="n">
        <f aca="false">X58-(R58-P58)</f>
        <v>8</v>
      </c>
      <c r="AA58" s="12" t="str">
        <f aca="false">IF(AND(Y58=0,Z58=0),"مطابق",IF(Y58+Z58&gt;0,"زيادة","عجز"))</f>
        <v>زيادة</v>
      </c>
      <c r="AB58" s="13" t="n">
        <f aca="false">V58-P58</f>
        <v>3518</v>
      </c>
    </row>
    <row r="59" customFormat="false" ht="15" hidden="false" customHeight="false" outlineLevel="0" collapsed="false">
      <c r="A59" s="11" t="n">
        <v>46258</v>
      </c>
      <c r="B59" s="12" t="s">
        <v>91</v>
      </c>
      <c r="C59" s="12" t="s">
        <v>93</v>
      </c>
      <c r="D59" s="4" t="s">
        <v>26</v>
      </c>
      <c r="E59" s="4"/>
      <c r="F59" s="5" t="n">
        <v>23</v>
      </c>
      <c r="G59" s="4" t="s">
        <v>30</v>
      </c>
      <c r="H59" s="4"/>
      <c r="I59" s="5" t="n">
        <v>79</v>
      </c>
      <c r="J59" s="4" t="s">
        <v>20</v>
      </c>
      <c r="K59" s="4"/>
      <c r="L59" s="5" t="n">
        <v>78</v>
      </c>
      <c r="M59" s="4"/>
      <c r="N59" s="4"/>
      <c r="O59" s="5"/>
      <c r="P59" s="13" t="n">
        <f aca="false">F59+I59+L59+O59</f>
        <v>180</v>
      </c>
      <c r="Q59" s="5" t="n">
        <v>2813</v>
      </c>
      <c r="R59" s="5" t="n">
        <v>496</v>
      </c>
      <c r="S59" s="5"/>
      <c r="T59" s="5"/>
      <c r="U59" s="5"/>
      <c r="V59" s="13" t="n">
        <f aca="false">SUM(Q59:U59)</f>
        <v>3309</v>
      </c>
      <c r="W59" s="5" t="n">
        <v>2823</v>
      </c>
      <c r="X59" s="5" t="n">
        <v>316</v>
      </c>
      <c r="Y59" s="14" t="n">
        <f aca="false">W59-Q59</f>
        <v>10</v>
      </c>
      <c r="Z59" s="14" t="n">
        <f aca="false">X59-(R59-P59)</f>
        <v>0</v>
      </c>
      <c r="AA59" s="12" t="str">
        <f aca="false">IF(AND(Y59=0,Z59=0),"مطابق",IF(Y59+Z59&gt;0,"زيادة","عجز"))</f>
        <v>زيادة</v>
      </c>
      <c r="AB59" s="13" t="n">
        <f aca="false">V59-P59</f>
        <v>3129</v>
      </c>
    </row>
    <row r="60" customFormat="false" ht="15" hidden="false" customHeight="false" outlineLevel="0" collapsed="false">
      <c r="A60" s="11" t="n">
        <v>46259</v>
      </c>
      <c r="B60" s="12" t="s">
        <v>92</v>
      </c>
      <c r="C60" s="12" t="s">
        <v>93</v>
      </c>
      <c r="D60" s="4" t="s">
        <v>26</v>
      </c>
      <c r="E60" s="4"/>
      <c r="F60" s="5" t="n">
        <v>21</v>
      </c>
      <c r="G60" s="4" t="s">
        <v>13</v>
      </c>
      <c r="H60" s="4" t="s">
        <v>21</v>
      </c>
      <c r="I60" s="5" t="n">
        <v>200</v>
      </c>
      <c r="J60" s="4"/>
      <c r="K60" s="4"/>
      <c r="L60" s="5"/>
      <c r="M60" s="4"/>
      <c r="N60" s="4"/>
      <c r="O60" s="5"/>
      <c r="P60" s="13" t="n">
        <f aca="false">F60+I60+L60+O60</f>
        <v>221</v>
      </c>
      <c r="Q60" s="5" t="n">
        <v>3376</v>
      </c>
      <c r="R60" s="5" t="n">
        <v>590</v>
      </c>
      <c r="S60" s="5"/>
      <c r="T60" s="5" t="n">
        <v>138</v>
      </c>
      <c r="U60" s="5" t="n">
        <v>264</v>
      </c>
      <c r="V60" s="13" t="n">
        <f aca="false">SUM(Q60:U60)</f>
        <v>4368</v>
      </c>
      <c r="W60" s="5" t="n">
        <v>3376</v>
      </c>
      <c r="X60" s="5" t="n">
        <v>369</v>
      </c>
      <c r="Y60" s="14" t="n">
        <f aca="false">W60-Q60</f>
        <v>0</v>
      </c>
      <c r="Z60" s="14" t="n">
        <f aca="false">X60-(R60-P60)</f>
        <v>0</v>
      </c>
      <c r="AA60" s="12" t="str">
        <f aca="false">IF(AND(Y60=0,Z60=0),"مطابق",IF(Y60+Z60&gt;0,"زيادة","عجز"))</f>
        <v>مطابق</v>
      </c>
      <c r="AB60" s="13" t="n">
        <f aca="false">V60-P60</f>
        <v>4147</v>
      </c>
    </row>
    <row r="61" customFormat="false" ht="15" hidden="false" customHeight="false" outlineLevel="0" collapsed="false">
      <c r="A61" s="11" t="n">
        <v>46260</v>
      </c>
      <c r="B61" s="12" t="s">
        <v>85</v>
      </c>
      <c r="C61" s="12" t="s">
        <v>93</v>
      </c>
      <c r="D61" s="4" t="s">
        <v>20</v>
      </c>
      <c r="E61" s="4"/>
      <c r="F61" s="5" t="n">
        <v>107</v>
      </c>
      <c r="G61" s="4"/>
      <c r="H61" s="4"/>
      <c r="I61" s="5"/>
      <c r="J61" s="4"/>
      <c r="K61" s="4"/>
      <c r="L61" s="5"/>
      <c r="M61" s="4"/>
      <c r="N61" s="4"/>
      <c r="O61" s="5"/>
      <c r="P61" s="13" t="n">
        <f aca="false">F61+I61+L61+O61</f>
        <v>107</v>
      </c>
      <c r="Q61" s="5" t="n">
        <v>2375</v>
      </c>
      <c r="R61" s="5" t="n">
        <v>1272</v>
      </c>
      <c r="S61" s="5"/>
      <c r="T61" s="5"/>
      <c r="U61" s="5"/>
      <c r="V61" s="13" t="n">
        <f aca="false">SUM(Q61:U61)</f>
        <v>3647</v>
      </c>
      <c r="W61" s="5" t="n">
        <v>2375</v>
      </c>
      <c r="X61" s="5" t="n">
        <v>1165</v>
      </c>
      <c r="Y61" s="14" t="n">
        <f aca="false">W61-Q61</f>
        <v>0</v>
      </c>
      <c r="Z61" s="14" t="n">
        <f aca="false">X61-(R61-P61)</f>
        <v>0</v>
      </c>
      <c r="AA61" s="12" t="str">
        <f aca="false">IF(AND(Y61=0,Z61=0),"مطابق",IF(Y61+Z61&gt;0,"زيادة","عجز"))</f>
        <v>مطابق</v>
      </c>
      <c r="AB61" s="13" t="n">
        <f aca="false">V61-P61</f>
        <v>3540</v>
      </c>
    </row>
    <row r="62" customFormat="false" ht="15" hidden="false" customHeight="false" outlineLevel="0" collapsed="false">
      <c r="A62" s="11" t="n">
        <v>46261</v>
      </c>
      <c r="B62" s="12" t="s">
        <v>87</v>
      </c>
      <c r="C62" s="12" t="s">
        <v>93</v>
      </c>
      <c r="D62" s="4" t="s">
        <v>20</v>
      </c>
      <c r="E62" s="4"/>
      <c r="F62" s="5" t="n">
        <v>122</v>
      </c>
      <c r="G62" s="4" t="s">
        <v>26</v>
      </c>
      <c r="H62" s="4"/>
      <c r="I62" s="5" t="n">
        <v>19</v>
      </c>
      <c r="J62" s="4"/>
      <c r="K62" s="4"/>
      <c r="L62" s="5"/>
      <c r="M62" s="4"/>
      <c r="N62" s="4"/>
      <c r="O62" s="5"/>
      <c r="P62" s="13" t="n">
        <f aca="false">F62+I62+L62+O62</f>
        <v>141</v>
      </c>
      <c r="Q62" s="5" t="n">
        <v>3432</v>
      </c>
      <c r="R62" s="5" t="n">
        <v>1007</v>
      </c>
      <c r="S62" s="5"/>
      <c r="T62" s="5"/>
      <c r="U62" s="5"/>
      <c r="V62" s="13" t="n">
        <f aca="false">SUM(Q62:U62)</f>
        <v>4439</v>
      </c>
      <c r="W62" s="5" t="n">
        <v>3432</v>
      </c>
      <c r="X62" s="5" t="n">
        <v>866</v>
      </c>
      <c r="Y62" s="14" t="n">
        <f aca="false">W62-Q62</f>
        <v>0</v>
      </c>
      <c r="Z62" s="14" t="n">
        <f aca="false">X62-(R62-P62)</f>
        <v>0</v>
      </c>
      <c r="AA62" s="12" t="str">
        <f aca="false">IF(AND(Y62=0,Z62=0),"مطابق",IF(Y62+Z62&gt;0,"زيادة","عجز"))</f>
        <v>مطابق</v>
      </c>
      <c r="AB62" s="13" t="n">
        <f aca="false">V62-P62</f>
        <v>4298</v>
      </c>
    </row>
    <row r="63" customFormat="false" ht="15" hidden="false" customHeight="false" outlineLevel="0" collapsed="false">
      <c r="A63" s="11" t="n">
        <v>46262</v>
      </c>
      <c r="B63" s="12" t="s">
        <v>88</v>
      </c>
      <c r="C63" s="12" t="s">
        <v>93</v>
      </c>
      <c r="D63" s="4" t="s">
        <v>13</v>
      </c>
      <c r="E63" s="4" t="s">
        <v>31</v>
      </c>
      <c r="F63" s="5" t="n">
        <v>300</v>
      </c>
      <c r="G63" s="4" t="s">
        <v>13</v>
      </c>
      <c r="H63" s="4" t="s">
        <v>38</v>
      </c>
      <c r="I63" s="5" t="n">
        <v>300</v>
      </c>
      <c r="J63" s="4"/>
      <c r="K63" s="4"/>
      <c r="L63" s="5"/>
      <c r="M63" s="4"/>
      <c r="N63" s="4"/>
      <c r="O63" s="5"/>
      <c r="P63" s="13" t="n">
        <f aca="false">F63+I63+L63+O63</f>
        <v>600</v>
      </c>
      <c r="Q63" s="5" t="n">
        <v>3584</v>
      </c>
      <c r="R63" s="5" t="n">
        <v>1742</v>
      </c>
      <c r="S63" s="5"/>
      <c r="T63" s="5" t="n">
        <v>307</v>
      </c>
      <c r="U63" s="5"/>
      <c r="V63" s="13" t="n">
        <f aca="false">SUM(Q63:U63)</f>
        <v>5633</v>
      </c>
      <c r="W63" s="5" t="n">
        <v>3584</v>
      </c>
      <c r="X63" s="5" t="n">
        <v>1142</v>
      </c>
      <c r="Y63" s="14" t="n">
        <f aca="false">W63-Q63</f>
        <v>0</v>
      </c>
      <c r="Z63" s="14" t="n">
        <f aca="false">X63-(R63-P63)</f>
        <v>0</v>
      </c>
      <c r="AA63" s="12" t="str">
        <f aca="false">IF(AND(Y63=0,Z63=0),"مطابق",IF(Y63+Z63&gt;0,"زيادة","عجز"))</f>
        <v>مطابق</v>
      </c>
      <c r="AB63" s="13" t="n">
        <f aca="false">V63-P63</f>
        <v>5033</v>
      </c>
    </row>
    <row r="64" customFormat="false" ht="15" hidden="false" customHeight="false" outlineLevel="0" collapsed="false">
      <c r="A64" s="11" t="n">
        <v>46263</v>
      </c>
      <c r="B64" s="12" t="s">
        <v>89</v>
      </c>
      <c r="C64" s="12" t="s">
        <v>93</v>
      </c>
      <c r="D64" s="4" t="s">
        <v>30</v>
      </c>
      <c r="E64" s="4"/>
      <c r="F64" s="5" t="n">
        <v>73</v>
      </c>
      <c r="G64" s="4"/>
      <c r="H64" s="4"/>
      <c r="I64" s="5"/>
      <c r="J64" s="4"/>
      <c r="K64" s="4"/>
      <c r="L64" s="5"/>
      <c r="M64" s="4"/>
      <c r="N64" s="4"/>
      <c r="O64" s="5"/>
      <c r="P64" s="13" t="n">
        <f aca="false">F64+I64+L64+O64</f>
        <v>73</v>
      </c>
      <c r="Q64" s="5" t="n">
        <v>3257</v>
      </c>
      <c r="R64" s="5" t="n">
        <v>490</v>
      </c>
      <c r="S64" s="5"/>
      <c r="T64" s="5"/>
      <c r="U64" s="5"/>
      <c r="V64" s="13" t="n">
        <f aca="false">SUM(Q64:U64)</f>
        <v>3747</v>
      </c>
      <c r="W64" s="5" t="n">
        <v>3257</v>
      </c>
      <c r="X64" s="5" t="n">
        <v>417</v>
      </c>
      <c r="Y64" s="14" t="n">
        <f aca="false">W64-Q64</f>
        <v>0</v>
      </c>
      <c r="Z64" s="14" t="n">
        <f aca="false">X64-(R64-P64)</f>
        <v>0</v>
      </c>
      <c r="AA64" s="12" t="str">
        <f aca="false">IF(AND(Y64=0,Z64=0),"مطابق",IF(Y64+Z64&gt;0,"زيادة","عجز"))</f>
        <v>مطابق</v>
      </c>
      <c r="AB64" s="13" t="n">
        <f aca="false">V64-P64</f>
        <v>3674</v>
      </c>
    </row>
    <row r="65" customFormat="false" ht="15" hidden="false" customHeight="false" outlineLevel="0" collapsed="false">
      <c r="A65" s="11" t="n">
        <v>46264</v>
      </c>
      <c r="B65" s="12" t="s">
        <v>90</v>
      </c>
      <c r="C65" s="12" t="s">
        <v>93</v>
      </c>
      <c r="D65" s="4" t="s">
        <v>20</v>
      </c>
      <c r="E65" s="4"/>
      <c r="F65" s="5" t="n">
        <v>45</v>
      </c>
      <c r="G65" s="4" t="s">
        <v>20</v>
      </c>
      <c r="H65" s="4"/>
      <c r="I65" s="5" t="n">
        <v>81</v>
      </c>
      <c r="J65" s="4" t="s">
        <v>20</v>
      </c>
      <c r="K65" s="4"/>
      <c r="L65" s="5" t="n">
        <v>133</v>
      </c>
      <c r="M65" s="4"/>
      <c r="N65" s="4"/>
      <c r="O65" s="5"/>
      <c r="P65" s="13" t="n">
        <f aca="false">F65+I65+L65+O65</f>
        <v>259</v>
      </c>
      <c r="Q65" s="5" t="n">
        <v>3141</v>
      </c>
      <c r="R65" s="5" t="n">
        <v>1031</v>
      </c>
      <c r="S65" s="5" t="n">
        <v>264</v>
      </c>
      <c r="T65" s="5"/>
      <c r="U65" s="5" t="n">
        <v>268</v>
      </c>
      <c r="V65" s="13" t="n">
        <f aca="false">SUM(Q65:U65)</f>
        <v>4704</v>
      </c>
      <c r="W65" s="5" t="n">
        <v>3141</v>
      </c>
      <c r="X65" s="5" t="n">
        <v>772</v>
      </c>
      <c r="Y65" s="14" t="n">
        <f aca="false">W65-Q65</f>
        <v>0</v>
      </c>
      <c r="Z65" s="14" t="n">
        <f aca="false">X65-(R65-P65)</f>
        <v>0</v>
      </c>
      <c r="AA65" s="12" t="str">
        <f aca="false">IF(AND(Y65=0,Z65=0),"مطابق",IF(Y65+Z65&gt;0,"زيادة","عجز"))</f>
        <v>مطابق</v>
      </c>
      <c r="AB65" s="13" t="n">
        <f aca="false">V65-P65</f>
        <v>4445</v>
      </c>
    </row>
    <row r="66" customFormat="false" ht="15" hidden="false" customHeight="false" outlineLevel="0" collapsed="false">
      <c r="A66" s="11" t="n">
        <v>46265</v>
      </c>
      <c r="B66" s="12" t="s">
        <v>91</v>
      </c>
      <c r="C66" s="12" t="s">
        <v>93</v>
      </c>
      <c r="D66" s="4" t="s">
        <v>20</v>
      </c>
      <c r="E66" s="4"/>
      <c r="F66" s="5" t="n">
        <v>138</v>
      </c>
      <c r="G66" s="4"/>
      <c r="H66" s="4"/>
      <c r="I66" s="5"/>
      <c r="J66" s="4"/>
      <c r="K66" s="4"/>
      <c r="L66" s="5"/>
      <c r="M66" s="4"/>
      <c r="N66" s="4"/>
      <c r="O66" s="5"/>
      <c r="P66" s="13" t="n">
        <f aca="false">F66+I66+L66+O66</f>
        <v>138</v>
      </c>
      <c r="Q66" s="5" t="n">
        <v>3293</v>
      </c>
      <c r="R66" s="5" t="n">
        <v>494</v>
      </c>
      <c r="S66" s="5"/>
      <c r="T66" s="5" t="n">
        <v>158</v>
      </c>
      <c r="U66" s="5"/>
      <c r="V66" s="13" t="n">
        <f aca="false">SUM(Q66:U66)</f>
        <v>3945</v>
      </c>
      <c r="W66" s="5" t="n">
        <v>3293</v>
      </c>
      <c r="X66" s="5" t="n">
        <v>356</v>
      </c>
      <c r="Y66" s="14" t="n">
        <f aca="false">W66-Q66</f>
        <v>0</v>
      </c>
      <c r="Z66" s="14" t="n">
        <f aca="false">X66-(R66-P66)</f>
        <v>0</v>
      </c>
      <c r="AA66" s="12" t="str">
        <f aca="false">IF(AND(Y66=0,Z66=0),"مطابق",IF(Y66+Z66&gt;0,"زيادة","عجز"))</f>
        <v>مطابق</v>
      </c>
      <c r="AB66" s="13" t="n">
        <f aca="false">V66-P66</f>
        <v>3807</v>
      </c>
    </row>
    <row r="67" customFormat="false" ht="15" hidden="false" customHeight="false" outlineLevel="0" collapsed="false">
      <c r="A67" s="11" t="n">
        <v>46266</v>
      </c>
      <c r="B67" s="12" t="s">
        <v>92</v>
      </c>
      <c r="C67" s="12" t="s">
        <v>94</v>
      </c>
      <c r="D67" s="4" t="s">
        <v>26</v>
      </c>
      <c r="E67" s="4"/>
      <c r="F67" s="5" t="n">
        <v>34</v>
      </c>
      <c r="G67" s="4"/>
      <c r="H67" s="4"/>
      <c r="I67" s="5"/>
      <c r="J67" s="4"/>
      <c r="K67" s="4"/>
      <c r="L67" s="5"/>
      <c r="M67" s="4"/>
      <c r="N67" s="4"/>
      <c r="O67" s="5"/>
      <c r="P67" s="13" t="n">
        <f aca="false">F67+I67+L67+O67</f>
        <v>34</v>
      </c>
      <c r="Q67" s="5" t="n">
        <v>1814</v>
      </c>
      <c r="R67" s="5" t="n">
        <v>483</v>
      </c>
      <c r="S67" s="5"/>
      <c r="T67" s="5" t="n">
        <v>211</v>
      </c>
      <c r="U67" s="5"/>
      <c r="V67" s="13" t="n">
        <f aca="false">SUM(Q67:U67)</f>
        <v>2508</v>
      </c>
      <c r="W67" s="5" t="n">
        <v>1814</v>
      </c>
      <c r="X67" s="5" t="n">
        <v>449</v>
      </c>
      <c r="Y67" s="14" t="n">
        <f aca="false">W67-Q67</f>
        <v>0</v>
      </c>
      <c r="Z67" s="14" t="n">
        <f aca="false">X67-(R67-P67)</f>
        <v>0</v>
      </c>
      <c r="AA67" s="12" t="str">
        <f aca="false">IF(AND(Y67=0,Z67=0),"مطابق",IF(Y67+Z67&gt;0,"زيادة","عجز"))</f>
        <v>مطابق</v>
      </c>
      <c r="AB67" s="13" t="n">
        <f aca="false">V67-P67</f>
        <v>2474</v>
      </c>
    </row>
    <row r="68" customFormat="false" ht="15" hidden="false" customHeight="false" outlineLevel="0" collapsed="false">
      <c r="A68" s="11" t="n">
        <v>46267</v>
      </c>
      <c r="B68" s="12" t="s">
        <v>85</v>
      </c>
      <c r="C68" s="12" t="s">
        <v>94</v>
      </c>
      <c r="D68" s="4" t="s">
        <v>13</v>
      </c>
      <c r="E68" s="4" t="s">
        <v>38</v>
      </c>
      <c r="F68" s="5" t="n">
        <v>200</v>
      </c>
      <c r="G68" s="4" t="s">
        <v>20</v>
      </c>
      <c r="H68" s="4"/>
      <c r="I68" s="5" t="n">
        <v>147</v>
      </c>
      <c r="J68" s="4"/>
      <c r="K68" s="4"/>
      <c r="L68" s="5"/>
      <c r="M68" s="4"/>
      <c r="N68" s="4"/>
      <c r="O68" s="5"/>
      <c r="P68" s="13" t="n">
        <f aca="false">F68+I68+L68+O68</f>
        <v>347</v>
      </c>
      <c r="Q68" s="5" t="n">
        <v>2690</v>
      </c>
      <c r="R68" s="5" t="n">
        <v>621</v>
      </c>
      <c r="S68" s="5"/>
      <c r="T68" s="5" t="n">
        <v>347</v>
      </c>
      <c r="U68" s="5"/>
      <c r="V68" s="13" t="n">
        <f aca="false">SUM(Q68:U68)</f>
        <v>3658</v>
      </c>
      <c r="W68" s="5" t="n">
        <v>2690</v>
      </c>
      <c r="X68" s="5" t="n">
        <v>274</v>
      </c>
      <c r="Y68" s="14" t="n">
        <f aca="false">W68-Q68</f>
        <v>0</v>
      </c>
      <c r="Z68" s="14" t="n">
        <f aca="false">X68-(R68-P68)</f>
        <v>0</v>
      </c>
      <c r="AA68" s="12" t="str">
        <f aca="false">IF(AND(Y68=0,Z68=0),"مطابق",IF(Y68+Z68&gt;0,"زيادة","عجز"))</f>
        <v>مطابق</v>
      </c>
      <c r="AB68" s="13" t="n">
        <f aca="false">V68-P68</f>
        <v>3311</v>
      </c>
    </row>
    <row r="69" customFormat="false" ht="15" hidden="false" customHeight="false" outlineLevel="0" collapsed="false">
      <c r="A69" s="11" t="n">
        <v>46268</v>
      </c>
      <c r="B69" s="12" t="s">
        <v>87</v>
      </c>
      <c r="C69" s="12" t="s">
        <v>94</v>
      </c>
      <c r="D69" s="4" t="s">
        <v>26</v>
      </c>
      <c r="E69" s="4"/>
      <c r="F69" s="5" t="n">
        <v>48</v>
      </c>
      <c r="G69" s="4" t="s">
        <v>20</v>
      </c>
      <c r="H69" s="4"/>
      <c r="I69" s="5" t="n">
        <v>137</v>
      </c>
      <c r="J69" s="4"/>
      <c r="K69" s="4"/>
      <c r="L69" s="5"/>
      <c r="M69" s="4"/>
      <c r="N69" s="4"/>
      <c r="O69" s="5"/>
      <c r="P69" s="13" t="n">
        <f aca="false">F69+I69+L69+O69</f>
        <v>185</v>
      </c>
      <c r="Q69" s="5" t="n">
        <v>4276</v>
      </c>
      <c r="R69" s="5" t="n">
        <v>1434</v>
      </c>
      <c r="S69" s="5" t="n">
        <v>360</v>
      </c>
      <c r="T69" s="5"/>
      <c r="U69" s="5" t="n">
        <v>155</v>
      </c>
      <c r="V69" s="13" t="n">
        <f aca="false">SUM(Q69:U69)</f>
        <v>6225</v>
      </c>
      <c r="W69" s="5" t="n">
        <v>4276</v>
      </c>
      <c r="X69" s="5" t="n">
        <v>1249</v>
      </c>
      <c r="Y69" s="14" t="n">
        <f aca="false">W69-Q69</f>
        <v>0</v>
      </c>
      <c r="Z69" s="14" t="n">
        <f aca="false">X69-(R69-P69)</f>
        <v>0</v>
      </c>
      <c r="AA69" s="12" t="str">
        <f aca="false">IF(AND(Y69=0,Z69=0),"مطابق",IF(Y69+Z69&gt;0,"زيادة","عجز"))</f>
        <v>مطابق</v>
      </c>
      <c r="AB69" s="13" t="n">
        <f aca="false">V69-P69</f>
        <v>6040</v>
      </c>
    </row>
    <row r="70" customFormat="false" ht="15" hidden="false" customHeight="false" outlineLevel="0" collapsed="false">
      <c r="A70" s="11" t="n">
        <v>46269</v>
      </c>
      <c r="B70" s="12" t="s">
        <v>88</v>
      </c>
      <c r="C70" s="12" t="s">
        <v>94</v>
      </c>
      <c r="D70" s="4" t="s">
        <v>26</v>
      </c>
      <c r="E70" s="4"/>
      <c r="F70" s="5" t="n">
        <v>45</v>
      </c>
      <c r="G70" s="4"/>
      <c r="H70" s="4"/>
      <c r="I70" s="5"/>
      <c r="J70" s="4"/>
      <c r="K70" s="4"/>
      <c r="L70" s="5"/>
      <c r="M70" s="4"/>
      <c r="N70" s="4"/>
      <c r="O70" s="5"/>
      <c r="P70" s="13" t="n">
        <f aca="false">F70+I70+L70+O70</f>
        <v>45</v>
      </c>
      <c r="Q70" s="5" t="n">
        <v>2710</v>
      </c>
      <c r="R70" s="5" t="n">
        <v>1696</v>
      </c>
      <c r="S70" s="5"/>
      <c r="T70" s="5"/>
      <c r="U70" s="5"/>
      <c r="V70" s="13" t="n">
        <f aca="false">SUM(Q70:U70)</f>
        <v>4406</v>
      </c>
      <c r="W70" s="5" t="n">
        <v>2710</v>
      </c>
      <c r="X70" s="5" t="n">
        <v>1651</v>
      </c>
      <c r="Y70" s="14" t="n">
        <f aca="false">W70-Q70</f>
        <v>0</v>
      </c>
      <c r="Z70" s="14" t="n">
        <f aca="false">X70-(R70-P70)</f>
        <v>0</v>
      </c>
      <c r="AA70" s="12" t="str">
        <f aca="false">IF(AND(Y70=0,Z70=0),"مطابق",IF(Y70+Z70&gt;0,"زيادة","عجز"))</f>
        <v>مطابق</v>
      </c>
      <c r="AB70" s="13" t="n">
        <f aca="false">V70-P70</f>
        <v>4361</v>
      </c>
    </row>
    <row r="71" customFormat="false" ht="15" hidden="false" customHeight="false" outlineLevel="0" collapsed="false">
      <c r="A71" s="11" t="n">
        <v>46270</v>
      </c>
      <c r="B71" s="12" t="s">
        <v>89</v>
      </c>
      <c r="C71" s="12" t="s">
        <v>94</v>
      </c>
      <c r="D71" s="4" t="s">
        <v>26</v>
      </c>
      <c r="E71" s="4"/>
      <c r="F71" s="5" t="n">
        <v>18</v>
      </c>
      <c r="G71" s="4" t="s">
        <v>13</v>
      </c>
      <c r="H71" s="4" t="s">
        <v>38</v>
      </c>
      <c r="I71" s="5" t="n">
        <v>100</v>
      </c>
      <c r="J71" s="4" t="s">
        <v>13</v>
      </c>
      <c r="K71" s="4" t="s">
        <v>31</v>
      </c>
      <c r="L71" s="5" t="n">
        <v>100</v>
      </c>
      <c r="M71" s="4"/>
      <c r="N71" s="4"/>
      <c r="O71" s="5"/>
      <c r="P71" s="13" t="n">
        <f aca="false">F71+I71+L71+O71</f>
        <v>218</v>
      </c>
      <c r="Q71" s="5" t="n">
        <v>2006</v>
      </c>
      <c r="R71" s="5" t="n">
        <v>1133</v>
      </c>
      <c r="S71" s="5"/>
      <c r="T71" s="5"/>
      <c r="U71" s="5" t="n">
        <v>224</v>
      </c>
      <c r="V71" s="13" t="n">
        <f aca="false">SUM(Q71:U71)</f>
        <v>3363</v>
      </c>
      <c r="W71" s="5" t="n">
        <v>2006</v>
      </c>
      <c r="X71" s="5" t="n">
        <v>915</v>
      </c>
      <c r="Y71" s="14" t="n">
        <f aca="false">W71-Q71</f>
        <v>0</v>
      </c>
      <c r="Z71" s="14" t="n">
        <f aca="false">X71-(R71-P71)</f>
        <v>0</v>
      </c>
      <c r="AA71" s="12" t="str">
        <f aca="false">IF(AND(Y71=0,Z71=0),"مطابق",IF(Y71+Z71&gt;0,"زيادة","عجز"))</f>
        <v>مطابق</v>
      </c>
      <c r="AB71" s="13" t="n">
        <f aca="false">V71-P71</f>
        <v>3145</v>
      </c>
    </row>
    <row r="72" customFormat="false" ht="15" hidden="false" customHeight="false" outlineLevel="0" collapsed="false">
      <c r="A72" s="11" t="n">
        <v>46271</v>
      </c>
      <c r="B72" s="12" t="s">
        <v>90</v>
      </c>
      <c r="C72" s="12" t="s">
        <v>94</v>
      </c>
      <c r="D72" s="4" t="s">
        <v>20</v>
      </c>
      <c r="E72" s="4"/>
      <c r="F72" s="5" t="n">
        <v>144</v>
      </c>
      <c r="G72" s="4" t="s">
        <v>26</v>
      </c>
      <c r="H72" s="4"/>
      <c r="I72" s="5" t="n">
        <v>60</v>
      </c>
      <c r="J72" s="4"/>
      <c r="K72" s="4"/>
      <c r="L72" s="5"/>
      <c r="M72" s="4"/>
      <c r="N72" s="4"/>
      <c r="O72" s="5"/>
      <c r="P72" s="13" t="n">
        <f aca="false">F72+I72+L72+O72</f>
        <v>204</v>
      </c>
      <c r="Q72" s="5" t="n">
        <v>3086</v>
      </c>
      <c r="R72" s="5" t="n">
        <v>582</v>
      </c>
      <c r="S72" s="5"/>
      <c r="T72" s="5" t="n">
        <v>130</v>
      </c>
      <c r="U72" s="5"/>
      <c r="V72" s="13" t="n">
        <f aca="false">SUM(Q72:U72)</f>
        <v>3798</v>
      </c>
      <c r="W72" s="5" t="n">
        <v>3086</v>
      </c>
      <c r="X72" s="5" t="n">
        <v>378</v>
      </c>
      <c r="Y72" s="14" t="n">
        <f aca="false">W72-Q72</f>
        <v>0</v>
      </c>
      <c r="Z72" s="14" t="n">
        <f aca="false">X72-(R72-P72)</f>
        <v>0</v>
      </c>
      <c r="AA72" s="12" t="str">
        <f aca="false">IF(AND(Y72=0,Z72=0),"مطابق",IF(Y72+Z72&gt;0,"زيادة","عجز"))</f>
        <v>مطابق</v>
      </c>
      <c r="AB72" s="13" t="n">
        <f aca="false">V72-P72</f>
        <v>3594</v>
      </c>
    </row>
    <row r="73" customFormat="false" ht="15" hidden="false" customHeight="false" outlineLevel="0" collapsed="false">
      <c r="A73" s="11" t="n">
        <v>46272</v>
      </c>
      <c r="B73" s="12" t="s">
        <v>91</v>
      </c>
      <c r="C73" s="12" t="s">
        <v>94</v>
      </c>
      <c r="D73" s="4" t="s">
        <v>26</v>
      </c>
      <c r="E73" s="4"/>
      <c r="F73" s="5" t="n">
        <v>34</v>
      </c>
      <c r="G73" s="4"/>
      <c r="H73" s="4"/>
      <c r="I73" s="5"/>
      <c r="J73" s="4"/>
      <c r="K73" s="4"/>
      <c r="L73" s="5"/>
      <c r="M73" s="4"/>
      <c r="N73" s="4"/>
      <c r="O73" s="5"/>
      <c r="P73" s="13" t="n">
        <f aca="false">F73+I73+L73+O73</f>
        <v>34</v>
      </c>
      <c r="Q73" s="5" t="n">
        <v>2369</v>
      </c>
      <c r="R73" s="5" t="n">
        <v>518</v>
      </c>
      <c r="S73" s="5"/>
      <c r="T73" s="5"/>
      <c r="U73" s="5"/>
      <c r="V73" s="13" t="n">
        <f aca="false">SUM(Q73:U73)</f>
        <v>2887</v>
      </c>
      <c r="W73" s="5" t="n">
        <v>2344</v>
      </c>
      <c r="X73" s="5" t="n">
        <v>484</v>
      </c>
      <c r="Y73" s="14" t="n">
        <f aca="false">W73-Q73</f>
        <v>-25</v>
      </c>
      <c r="Z73" s="14" t="n">
        <f aca="false">X73-(R73-P73)</f>
        <v>0</v>
      </c>
      <c r="AA73" s="12" t="str">
        <f aca="false">IF(AND(Y73=0,Z73=0),"مطابق",IF(Y73+Z73&gt;0,"زيادة","عجز"))</f>
        <v>عجز</v>
      </c>
      <c r="AB73" s="13" t="n">
        <f aca="false">V73-P73</f>
        <v>2853</v>
      </c>
    </row>
    <row r="74" customFormat="false" ht="15" hidden="false" customHeight="false" outlineLevel="0" collapsed="false">
      <c r="A74" s="11" t="n">
        <v>46273</v>
      </c>
      <c r="B74" s="12" t="s">
        <v>92</v>
      </c>
      <c r="C74" s="12" t="s">
        <v>94</v>
      </c>
      <c r="D74" s="4" t="s">
        <v>20</v>
      </c>
      <c r="E74" s="4"/>
      <c r="F74" s="5" t="n">
        <v>160</v>
      </c>
      <c r="G74" s="4"/>
      <c r="H74" s="4"/>
      <c r="I74" s="5"/>
      <c r="J74" s="4"/>
      <c r="K74" s="4"/>
      <c r="L74" s="5"/>
      <c r="M74" s="4"/>
      <c r="N74" s="4"/>
      <c r="O74" s="5"/>
      <c r="P74" s="13" t="n">
        <f aca="false">F74+I74+L74+O74</f>
        <v>160</v>
      </c>
      <c r="Q74" s="5" t="n">
        <v>2489</v>
      </c>
      <c r="R74" s="5" t="n">
        <v>534</v>
      </c>
      <c r="S74" s="5"/>
      <c r="T74" s="5"/>
      <c r="U74" s="5"/>
      <c r="V74" s="13" t="n">
        <f aca="false">SUM(Q74:U74)</f>
        <v>3023</v>
      </c>
      <c r="W74" s="5" t="n">
        <v>2489</v>
      </c>
      <c r="X74" s="5" t="n">
        <v>403</v>
      </c>
      <c r="Y74" s="14" t="n">
        <f aca="false">W74-Q74</f>
        <v>0</v>
      </c>
      <c r="Z74" s="14" t="n">
        <f aca="false">X74-(R74-P74)</f>
        <v>29</v>
      </c>
      <c r="AA74" s="12" t="str">
        <f aca="false">IF(AND(Y74=0,Z74=0),"مطابق",IF(Y74+Z74&gt;0,"زيادة","عجز"))</f>
        <v>زيادة</v>
      </c>
      <c r="AB74" s="13" t="n">
        <f aca="false">V74-P74</f>
        <v>2863</v>
      </c>
    </row>
    <row r="75" customFormat="false" ht="15" hidden="false" customHeight="false" outlineLevel="0" collapsed="false">
      <c r="A75" s="11" t="n">
        <v>46274</v>
      </c>
      <c r="B75" s="12" t="s">
        <v>85</v>
      </c>
      <c r="C75" s="12" t="s">
        <v>94</v>
      </c>
      <c r="D75" s="4" t="s">
        <v>20</v>
      </c>
      <c r="E75" s="4"/>
      <c r="F75" s="5" t="n">
        <v>78</v>
      </c>
      <c r="G75" s="4"/>
      <c r="H75" s="4"/>
      <c r="I75" s="5"/>
      <c r="J75" s="4"/>
      <c r="K75" s="4"/>
      <c r="L75" s="5"/>
      <c r="M75" s="4"/>
      <c r="N75" s="4"/>
      <c r="O75" s="5"/>
      <c r="P75" s="13" t="n">
        <f aca="false">F75+I75+L75+O75</f>
        <v>78</v>
      </c>
      <c r="Q75" s="5" t="n">
        <v>2519</v>
      </c>
      <c r="R75" s="5" t="n">
        <v>467</v>
      </c>
      <c r="S75" s="5"/>
      <c r="T75" s="5"/>
      <c r="U75" s="5"/>
      <c r="V75" s="13" t="n">
        <f aca="false">SUM(Q75:U75)</f>
        <v>2986</v>
      </c>
      <c r="W75" s="5" t="n">
        <v>2519</v>
      </c>
      <c r="X75" s="5" t="n">
        <v>389</v>
      </c>
      <c r="Y75" s="14" t="n">
        <f aca="false">W75-Q75</f>
        <v>0</v>
      </c>
      <c r="Z75" s="14" t="n">
        <f aca="false">X75-(R75-P75)</f>
        <v>0</v>
      </c>
      <c r="AA75" s="12" t="str">
        <f aca="false">IF(AND(Y75=0,Z75=0),"مطابق",IF(Y75+Z75&gt;0,"زيادة","عجز"))</f>
        <v>مطابق</v>
      </c>
      <c r="AB75" s="13" t="n">
        <f aca="false">V75-P75</f>
        <v>2908</v>
      </c>
    </row>
    <row r="76" customFormat="false" ht="15" hidden="false" customHeight="false" outlineLevel="0" collapsed="false">
      <c r="A76" s="11" t="n">
        <v>46275</v>
      </c>
      <c r="B76" s="12" t="s">
        <v>87</v>
      </c>
      <c r="C76" s="12" t="s">
        <v>94</v>
      </c>
      <c r="D76" s="4" t="s">
        <v>26</v>
      </c>
      <c r="E76" s="4"/>
      <c r="F76" s="5" t="n">
        <v>35</v>
      </c>
      <c r="G76" s="4"/>
      <c r="H76" s="4"/>
      <c r="I76" s="5"/>
      <c r="J76" s="4"/>
      <c r="K76" s="4"/>
      <c r="L76" s="5"/>
      <c r="M76" s="4"/>
      <c r="N76" s="4"/>
      <c r="O76" s="5"/>
      <c r="P76" s="13" t="n">
        <f aca="false">F76+I76+L76+O76</f>
        <v>35</v>
      </c>
      <c r="Q76" s="5" t="n">
        <v>2648</v>
      </c>
      <c r="R76" s="5" t="n">
        <v>1089</v>
      </c>
      <c r="S76" s="5"/>
      <c r="T76" s="5"/>
      <c r="U76" s="5" t="n">
        <v>283</v>
      </c>
      <c r="V76" s="13" t="n">
        <f aca="false">SUM(Q76:U76)</f>
        <v>4020</v>
      </c>
      <c r="W76" s="5" t="n">
        <v>2648</v>
      </c>
      <c r="X76" s="5" t="n">
        <v>1054</v>
      </c>
      <c r="Y76" s="14" t="n">
        <f aca="false">W76-Q76</f>
        <v>0</v>
      </c>
      <c r="Z76" s="14" t="n">
        <f aca="false">X76-(R76-P76)</f>
        <v>0</v>
      </c>
      <c r="AA76" s="12" t="str">
        <f aca="false">IF(AND(Y76=0,Z76=0),"مطابق",IF(Y76+Z76&gt;0,"زيادة","عجز"))</f>
        <v>مطابق</v>
      </c>
      <c r="AB76" s="13" t="n">
        <f aca="false">V76-P76</f>
        <v>3985</v>
      </c>
    </row>
    <row r="77" customFormat="false" ht="15" hidden="false" customHeight="false" outlineLevel="0" collapsed="false">
      <c r="A77" s="11" t="n">
        <v>46276</v>
      </c>
      <c r="B77" s="12" t="s">
        <v>88</v>
      </c>
      <c r="C77" s="12" t="s">
        <v>94</v>
      </c>
      <c r="D77" s="4" t="s">
        <v>20</v>
      </c>
      <c r="E77" s="4"/>
      <c r="F77" s="5" t="n">
        <v>53</v>
      </c>
      <c r="G77" s="4" t="s">
        <v>13</v>
      </c>
      <c r="H77" s="4" t="s">
        <v>38</v>
      </c>
      <c r="I77" s="5" t="n">
        <v>150</v>
      </c>
      <c r="J77" s="4" t="s">
        <v>26</v>
      </c>
      <c r="K77" s="4"/>
      <c r="L77" s="5" t="n">
        <v>24</v>
      </c>
      <c r="M77" s="4"/>
      <c r="N77" s="4"/>
      <c r="O77" s="5"/>
      <c r="P77" s="13" t="n">
        <f aca="false">F77+I77+L77+O77</f>
        <v>227</v>
      </c>
      <c r="Q77" s="5" t="n">
        <v>4521</v>
      </c>
      <c r="R77" s="5" t="n">
        <v>871</v>
      </c>
      <c r="S77" s="5"/>
      <c r="T77" s="5"/>
      <c r="U77" s="5"/>
      <c r="V77" s="13" t="n">
        <f aca="false">SUM(Q77:U77)</f>
        <v>5392</v>
      </c>
      <c r="W77" s="5" t="n">
        <v>4521</v>
      </c>
      <c r="X77" s="5" t="n">
        <v>644</v>
      </c>
      <c r="Y77" s="14" t="n">
        <f aca="false">W77-Q77</f>
        <v>0</v>
      </c>
      <c r="Z77" s="14" t="n">
        <f aca="false">X77-(R77-P77)</f>
        <v>0</v>
      </c>
      <c r="AA77" s="12" t="str">
        <f aca="false">IF(AND(Y77=0,Z77=0),"مطابق",IF(Y77+Z77&gt;0,"زيادة","عجز"))</f>
        <v>مطابق</v>
      </c>
      <c r="AB77" s="13" t="n">
        <f aca="false">V77-P77</f>
        <v>5165</v>
      </c>
    </row>
    <row r="78" customFormat="false" ht="15" hidden="false" customHeight="false" outlineLevel="0" collapsed="false">
      <c r="A78" s="11" t="n">
        <v>46277</v>
      </c>
      <c r="B78" s="12" t="s">
        <v>89</v>
      </c>
      <c r="C78" s="12" t="s">
        <v>94</v>
      </c>
      <c r="D78" s="4" t="s">
        <v>26</v>
      </c>
      <c r="E78" s="4"/>
      <c r="F78" s="5" t="n">
        <v>23</v>
      </c>
      <c r="G78" s="4"/>
      <c r="H78" s="4"/>
      <c r="I78" s="5"/>
      <c r="J78" s="4"/>
      <c r="K78" s="4"/>
      <c r="L78" s="5"/>
      <c r="M78" s="4"/>
      <c r="N78" s="4"/>
      <c r="O78" s="5"/>
      <c r="P78" s="13" t="n">
        <f aca="false">F78+I78+L78+O78</f>
        <v>23</v>
      </c>
      <c r="Q78" s="5" t="n">
        <v>2779</v>
      </c>
      <c r="R78" s="5" t="n">
        <v>1284</v>
      </c>
      <c r="S78" s="5" t="n">
        <v>85</v>
      </c>
      <c r="T78" s="5"/>
      <c r="U78" s="5"/>
      <c r="V78" s="13" t="n">
        <f aca="false">SUM(Q78:U78)</f>
        <v>4148</v>
      </c>
      <c r="W78" s="5" t="n">
        <v>2779</v>
      </c>
      <c r="X78" s="5" t="n">
        <v>1261</v>
      </c>
      <c r="Y78" s="14" t="n">
        <f aca="false">W78-Q78</f>
        <v>0</v>
      </c>
      <c r="Z78" s="14" t="n">
        <f aca="false">X78-(R78-P78)</f>
        <v>0</v>
      </c>
      <c r="AA78" s="12" t="str">
        <f aca="false">IF(AND(Y78=0,Z78=0),"مطابق",IF(Y78+Z78&gt;0,"زيادة","عجز"))</f>
        <v>مطابق</v>
      </c>
      <c r="AB78" s="13" t="n">
        <f aca="false">V78-P78</f>
        <v>4125</v>
      </c>
    </row>
    <row r="79" customFormat="false" ht="15" hidden="false" customHeight="false" outlineLevel="0" collapsed="false">
      <c r="A79" s="11" t="n">
        <v>46278</v>
      </c>
      <c r="B79" s="12" t="s">
        <v>90</v>
      </c>
      <c r="C79" s="12" t="s">
        <v>94</v>
      </c>
      <c r="D79" s="4" t="s">
        <v>13</v>
      </c>
      <c r="E79" s="4" t="s">
        <v>34</v>
      </c>
      <c r="F79" s="5" t="n">
        <v>300</v>
      </c>
      <c r="G79" s="4"/>
      <c r="H79" s="4"/>
      <c r="I79" s="5"/>
      <c r="J79" s="4"/>
      <c r="K79" s="4"/>
      <c r="L79" s="5"/>
      <c r="M79" s="4"/>
      <c r="N79" s="4"/>
      <c r="O79" s="5"/>
      <c r="P79" s="13" t="n">
        <f aca="false">F79+I79+L79+O79</f>
        <v>300</v>
      </c>
      <c r="Q79" s="5" t="n">
        <v>2908</v>
      </c>
      <c r="R79" s="5" t="n">
        <v>471</v>
      </c>
      <c r="S79" s="5" t="n">
        <v>379</v>
      </c>
      <c r="T79" s="5"/>
      <c r="U79" s="5"/>
      <c r="V79" s="13" t="n">
        <f aca="false">SUM(Q79:U79)</f>
        <v>3758</v>
      </c>
      <c r="W79" s="5" t="n">
        <v>2908</v>
      </c>
      <c r="X79" s="5" t="n">
        <v>171</v>
      </c>
      <c r="Y79" s="14" t="n">
        <f aca="false">W79-Q79</f>
        <v>0</v>
      </c>
      <c r="Z79" s="14" t="n">
        <f aca="false">X79-(R79-P79)</f>
        <v>0</v>
      </c>
      <c r="AA79" s="12" t="str">
        <f aca="false">IF(AND(Y79=0,Z79=0),"مطابق",IF(Y79+Z79&gt;0,"زيادة","عجز"))</f>
        <v>مطابق</v>
      </c>
      <c r="AB79" s="13" t="n">
        <f aca="false">V79-P79</f>
        <v>3458</v>
      </c>
    </row>
    <row r="80" customFormat="false" ht="15" hidden="false" customHeight="false" outlineLevel="0" collapsed="false">
      <c r="A80" s="11" t="n">
        <v>46279</v>
      </c>
      <c r="B80" s="12" t="s">
        <v>91</v>
      </c>
      <c r="C80" s="12" t="s">
        <v>94</v>
      </c>
      <c r="D80" s="4" t="s">
        <v>26</v>
      </c>
      <c r="E80" s="4"/>
      <c r="F80" s="5" t="n">
        <v>26</v>
      </c>
      <c r="G80" s="4"/>
      <c r="H80" s="4"/>
      <c r="I80" s="5"/>
      <c r="J80" s="4"/>
      <c r="K80" s="4"/>
      <c r="L80" s="5"/>
      <c r="M80" s="4"/>
      <c r="N80" s="4"/>
      <c r="O80" s="5"/>
      <c r="P80" s="13" t="n">
        <f aca="false">F80+I80+L80+O80</f>
        <v>26</v>
      </c>
      <c r="Q80" s="5" t="n">
        <v>3380</v>
      </c>
      <c r="R80" s="5" t="n">
        <v>850</v>
      </c>
      <c r="S80" s="5"/>
      <c r="T80" s="5" t="n">
        <v>358</v>
      </c>
      <c r="U80" s="5"/>
      <c r="V80" s="13" t="n">
        <f aca="false">SUM(Q80:U80)</f>
        <v>4588</v>
      </c>
      <c r="W80" s="5" t="n">
        <v>3380</v>
      </c>
      <c r="X80" s="5" t="n">
        <v>824</v>
      </c>
      <c r="Y80" s="14" t="n">
        <f aca="false">W80-Q80</f>
        <v>0</v>
      </c>
      <c r="Z80" s="14" t="n">
        <f aca="false">X80-(R80-P80)</f>
        <v>0</v>
      </c>
      <c r="AA80" s="12" t="str">
        <f aca="false">IF(AND(Y80=0,Z80=0),"مطابق",IF(Y80+Z80&gt;0,"زيادة","عجز"))</f>
        <v>مطابق</v>
      </c>
      <c r="AB80" s="13" t="n">
        <f aca="false">V80-P80</f>
        <v>4562</v>
      </c>
    </row>
    <row r="81" customFormat="false" ht="15" hidden="false" customHeight="false" outlineLevel="0" collapsed="false">
      <c r="A81" s="11" t="n">
        <v>46280</v>
      </c>
      <c r="B81" s="12" t="s">
        <v>92</v>
      </c>
      <c r="C81" s="12" t="s">
        <v>94</v>
      </c>
      <c r="D81" s="4" t="s">
        <v>20</v>
      </c>
      <c r="E81" s="4"/>
      <c r="F81" s="5" t="n">
        <v>155</v>
      </c>
      <c r="G81" s="4"/>
      <c r="H81" s="4"/>
      <c r="I81" s="5"/>
      <c r="J81" s="4"/>
      <c r="K81" s="4"/>
      <c r="L81" s="5"/>
      <c r="M81" s="4"/>
      <c r="N81" s="4"/>
      <c r="O81" s="5"/>
      <c r="P81" s="13" t="n">
        <f aca="false">F81+I81+L81+O81</f>
        <v>155</v>
      </c>
      <c r="Q81" s="5" t="n">
        <v>2530</v>
      </c>
      <c r="R81" s="5" t="n">
        <v>467</v>
      </c>
      <c r="S81" s="5" t="n">
        <v>124</v>
      </c>
      <c r="T81" s="5" t="n">
        <v>225</v>
      </c>
      <c r="U81" s="5"/>
      <c r="V81" s="13" t="n">
        <f aca="false">SUM(Q81:U81)</f>
        <v>3346</v>
      </c>
      <c r="W81" s="5" t="n">
        <v>2530</v>
      </c>
      <c r="X81" s="5" t="n">
        <v>312</v>
      </c>
      <c r="Y81" s="14" t="n">
        <f aca="false">W81-Q81</f>
        <v>0</v>
      </c>
      <c r="Z81" s="14" t="n">
        <f aca="false">X81-(R81-P81)</f>
        <v>0</v>
      </c>
      <c r="AA81" s="12" t="str">
        <f aca="false">IF(AND(Y81=0,Z81=0),"مطابق",IF(Y81+Z81&gt;0,"زيادة","عجز"))</f>
        <v>مطابق</v>
      </c>
      <c r="AB81" s="13" t="n">
        <f aca="false">V81-P81</f>
        <v>3191</v>
      </c>
    </row>
    <row r="82" customFormat="false" ht="15" hidden="false" customHeight="false" outlineLevel="0" collapsed="false">
      <c r="A82" s="11" t="n">
        <v>46281</v>
      </c>
      <c r="B82" s="12" t="s">
        <v>85</v>
      </c>
      <c r="C82" s="12" t="s">
        <v>94</v>
      </c>
      <c r="D82" s="4" t="s">
        <v>26</v>
      </c>
      <c r="E82" s="4"/>
      <c r="F82" s="5" t="n">
        <v>56</v>
      </c>
      <c r="G82" s="4"/>
      <c r="H82" s="4"/>
      <c r="I82" s="5"/>
      <c r="J82" s="4"/>
      <c r="K82" s="4"/>
      <c r="L82" s="5"/>
      <c r="M82" s="4"/>
      <c r="N82" s="4"/>
      <c r="O82" s="5"/>
      <c r="P82" s="13" t="n">
        <f aca="false">F82+I82+L82+O82</f>
        <v>56</v>
      </c>
      <c r="Q82" s="5" t="n">
        <v>2122</v>
      </c>
      <c r="R82" s="5" t="n">
        <v>1252</v>
      </c>
      <c r="S82" s="5"/>
      <c r="T82" s="5"/>
      <c r="U82" s="5" t="n">
        <v>187</v>
      </c>
      <c r="V82" s="13" t="n">
        <f aca="false">SUM(Q82:U82)</f>
        <v>3561</v>
      </c>
      <c r="W82" s="5" t="n">
        <v>2122</v>
      </c>
      <c r="X82" s="5" t="n">
        <v>1196</v>
      </c>
      <c r="Y82" s="14" t="n">
        <f aca="false">W82-Q82</f>
        <v>0</v>
      </c>
      <c r="Z82" s="14" t="n">
        <f aca="false">X82-(R82-P82)</f>
        <v>0</v>
      </c>
      <c r="AA82" s="12" t="str">
        <f aca="false">IF(AND(Y82=0,Z82=0),"مطابق",IF(Y82+Z82&gt;0,"زيادة","عجز"))</f>
        <v>مطابق</v>
      </c>
      <c r="AB82" s="13" t="n">
        <f aca="false">V82-P82</f>
        <v>3505</v>
      </c>
    </row>
    <row r="83" customFormat="false" ht="15" hidden="false" customHeight="false" outlineLevel="0" collapsed="false">
      <c r="A83" s="11" t="n">
        <v>46282</v>
      </c>
      <c r="B83" s="12" t="s">
        <v>87</v>
      </c>
      <c r="C83" s="12" t="s">
        <v>94</v>
      </c>
      <c r="D83" s="4" t="s">
        <v>20</v>
      </c>
      <c r="E83" s="4"/>
      <c r="F83" s="5" t="n">
        <v>57</v>
      </c>
      <c r="G83" s="4"/>
      <c r="H83" s="4"/>
      <c r="I83" s="5"/>
      <c r="J83" s="4"/>
      <c r="K83" s="4"/>
      <c r="L83" s="5"/>
      <c r="M83" s="4"/>
      <c r="N83" s="4"/>
      <c r="O83" s="5"/>
      <c r="P83" s="13" t="n">
        <f aca="false">F83+I83+L83+O83</f>
        <v>57</v>
      </c>
      <c r="Q83" s="5" t="n">
        <v>3791</v>
      </c>
      <c r="R83" s="5" t="n">
        <v>691</v>
      </c>
      <c r="S83" s="5"/>
      <c r="T83" s="5" t="n">
        <v>129</v>
      </c>
      <c r="U83" s="5"/>
      <c r="V83" s="13" t="n">
        <f aca="false">SUM(Q83:U83)</f>
        <v>4611</v>
      </c>
      <c r="W83" s="5" t="n">
        <v>3791</v>
      </c>
      <c r="X83" s="5" t="n">
        <v>634</v>
      </c>
      <c r="Y83" s="14" t="n">
        <f aca="false">W83-Q83</f>
        <v>0</v>
      </c>
      <c r="Z83" s="14" t="n">
        <f aca="false">X83-(R83-P83)</f>
        <v>0</v>
      </c>
      <c r="AA83" s="12" t="str">
        <f aca="false">IF(AND(Y83=0,Z83=0),"مطابق",IF(Y83+Z83&gt;0,"زيادة","عجز"))</f>
        <v>مطابق</v>
      </c>
      <c r="AB83" s="13" t="n">
        <f aca="false">V83-P83</f>
        <v>4554</v>
      </c>
    </row>
    <row r="84" customFormat="false" ht="15" hidden="false" customHeight="false" outlineLevel="0" collapsed="false">
      <c r="A84" s="11" t="n">
        <v>46283</v>
      </c>
      <c r="B84" s="12" t="s">
        <v>88</v>
      </c>
      <c r="C84" s="12" t="s">
        <v>94</v>
      </c>
      <c r="D84" s="4" t="s">
        <v>26</v>
      </c>
      <c r="E84" s="4"/>
      <c r="F84" s="5" t="n">
        <v>28</v>
      </c>
      <c r="G84" s="4" t="s">
        <v>13</v>
      </c>
      <c r="H84" s="4" t="s">
        <v>14</v>
      </c>
      <c r="I84" s="5" t="n">
        <v>150</v>
      </c>
      <c r="J84" s="4" t="s">
        <v>26</v>
      </c>
      <c r="K84" s="4"/>
      <c r="L84" s="5" t="n">
        <v>38</v>
      </c>
      <c r="M84" s="4"/>
      <c r="N84" s="4"/>
      <c r="O84" s="5"/>
      <c r="P84" s="13" t="n">
        <f aca="false">F84+I84+L84+O84</f>
        <v>216</v>
      </c>
      <c r="Q84" s="5" t="n">
        <v>3188</v>
      </c>
      <c r="R84" s="5" t="n">
        <v>787</v>
      </c>
      <c r="S84" s="5"/>
      <c r="T84" s="5"/>
      <c r="U84" s="5"/>
      <c r="V84" s="13" t="n">
        <f aca="false">SUM(Q84:U84)</f>
        <v>3975</v>
      </c>
      <c r="W84" s="5" t="n">
        <v>3188</v>
      </c>
      <c r="X84" s="5" t="n">
        <v>571</v>
      </c>
      <c r="Y84" s="14" t="n">
        <f aca="false">W84-Q84</f>
        <v>0</v>
      </c>
      <c r="Z84" s="14" t="n">
        <f aca="false">X84-(R84-P84)</f>
        <v>0</v>
      </c>
      <c r="AA84" s="12" t="str">
        <f aca="false">IF(AND(Y84=0,Z84=0),"مطابق",IF(Y84+Z84&gt;0,"زيادة","عجز"))</f>
        <v>مطابق</v>
      </c>
      <c r="AB84" s="13" t="n">
        <f aca="false">V84-P84</f>
        <v>3759</v>
      </c>
    </row>
    <row r="85" customFormat="false" ht="15" hidden="false" customHeight="false" outlineLevel="0" collapsed="false">
      <c r="A85" s="11" t="n">
        <v>46284</v>
      </c>
      <c r="B85" s="12" t="s">
        <v>89</v>
      </c>
      <c r="C85" s="12" t="s">
        <v>94</v>
      </c>
      <c r="D85" s="4" t="s">
        <v>20</v>
      </c>
      <c r="E85" s="4"/>
      <c r="F85" s="5" t="n">
        <v>33</v>
      </c>
      <c r="G85" s="4" t="s">
        <v>30</v>
      </c>
      <c r="H85" s="4"/>
      <c r="I85" s="5" t="n">
        <v>64</v>
      </c>
      <c r="J85" s="4"/>
      <c r="K85" s="4"/>
      <c r="L85" s="5"/>
      <c r="M85" s="4"/>
      <c r="N85" s="4"/>
      <c r="O85" s="5"/>
      <c r="P85" s="13" t="n">
        <f aca="false">F85+I85+L85+O85</f>
        <v>97</v>
      </c>
      <c r="Q85" s="5" t="n">
        <v>2009</v>
      </c>
      <c r="R85" s="5" t="n">
        <v>599</v>
      </c>
      <c r="S85" s="5" t="n">
        <v>153</v>
      </c>
      <c r="T85" s="5" t="n">
        <v>350</v>
      </c>
      <c r="U85" s="5" t="n">
        <v>141</v>
      </c>
      <c r="V85" s="13" t="n">
        <f aca="false">SUM(Q85:U85)</f>
        <v>3252</v>
      </c>
      <c r="W85" s="5" t="n">
        <v>2009</v>
      </c>
      <c r="X85" s="5" t="n">
        <v>502</v>
      </c>
      <c r="Y85" s="14" t="n">
        <f aca="false">W85-Q85</f>
        <v>0</v>
      </c>
      <c r="Z85" s="14" t="n">
        <f aca="false">X85-(R85-P85)</f>
        <v>0</v>
      </c>
      <c r="AA85" s="12" t="str">
        <f aca="false">IF(AND(Y85=0,Z85=0),"مطابق",IF(Y85+Z85&gt;0,"زيادة","عجز"))</f>
        <v>مطابق</v>
      </c>
      <c r="AB85" s="13" t="n">
        <f aca="false">V85-P85</f>
        <v>3155</v>
      </c>
    </row>
    <row r="86" customFormat="false" ht="15" hidden="false" customHeight="false" outlineLevel="0" collapsed="false">
      <c r="A86" s="11" t="n">
        <v>46285</v>
      </c>
      <c r="B86" s="12" t="s">
        <v>90</v>
      </c>
      <c r="C86" s="12" t="s">
        <v>94</v>
      </c>
      <c r="D86" s="4" t="s">
        <v>20</v>
      </c>
      <c r="E86" s="4"/>
      <c r="F86" s="5" t="n">
        <v>133</v>
      </c>
      <c r="G86" s="4" t="s">
        <v>20</v>
      </c>
      <c r="H86" s="4"/>
      <c r="I86" s="5" t="n">
        <v>52</v>
      </c>
      <c r="J86" s="4"/>
      <c r="K86" s="4"/>
      <c r="L86" s="5"/>
      <c r="M86" s="4"/>
      <c r="N86" s="4"/>
      <c r="O86" s="5"/>
      <c r="P86" s="13" t="n">
        <f aca="false">F86+I86+L86+O86</f>
        <v>185</v>
      </c>
      <c r="Q86" s="5" t="n">
        <v>3010</v>
      </c>
      <c r="R86" s="5" t="n">
        <v>816</v>
      </c>
      <c r="S86" s="5"/>
      <c r="T86" s="5"/>
      <c r="U86" s="5" t="n">
        <v>223</v>
      </c>
      <c r="V86" s="13" t="n">
        <f aca="false">SUM(Q86:U86)</f>
        <v>4049</v>
      </c>
      <c r="W86" s="5" t="n">
        <v>3010</v>
      </c>
      <c r="X86" s="5" t="n">
        <v>631</v>
      </c>
      <c r="Y86" s="14" t="n">
        <f aca="false">W86-Q86</f>
        <v>0</v>
      </c>
      <c r="Z86" s="14" t="n">
        <f aca="false">X86-(R86-P86)</f>
        <v>0</v>
      </c>
      <c r="AA86" s="12" t="str">
        <f aca="false">IF(AND(Y86=0,Z86=0),"مطابق",IF(Y86+Z86&gt;0,"زيادة","عجز"))</f>
        <v>مطابق</v>
      </c>
      <c r="AB86" s="13" t="n">
        <f aca="false">V86-P86</f>
        <v>3864</v>
      </c>
    </row>
    <row r="87" customFormat="false" ht="15" hidden="false" customHeight="false" outlineLevel="0" collapsed="false">
      <c r="A87" s="11" t="n">
        <v>46286</v>
      </c>
      <c r="B87" s="12" t="s">
        <v>91</v>
      </c>
      <c r="C87" s="12" t="s">
        <v>94</v>
      </c>
      <c r="D87" s="4" t="s">
        <v>26</v>
      </c>
      <c r="E87" s="4"/>
      <c r="F87" s="5" t="n">
        <v>47</v>
      </c>
      <c r="G87" s="4" t="s">
        <v>30</v>
      </c>
      <c r="H87" s="4"/>
      <c r="I87" s="5" t="n">
        <v>74</v>
      </c>
      <c r="J87" s="4"/>
      <c r="K87" s="4"/>
      <c r="L87" s="5"/>
      <c r="M87" s="4"/>
      <c r="N87" s="4"/>
      <c r="O87" s="5"/>
      <c r="P87" s="13" t="n">
        <f aca="false">F87+I87+L87+O87</f>
        <v>121</v>
      </c>
      <c r="Q87" s="5" t="n">
        <v>2345</v>
      </c>
      <c r="R87" s="5" t="n">
        <v>692</v>
      </c>
      <c r="S87" s="5"/>
      <c r="T87" s="5" t="n">
        <v>123</v>
      </c>
      <c r="U87" s="5" t="n">
        <v>110</v>
      </c>
      <c r="V87" s="13" t="n">
        <f aca="false">SUM(Q87:U87)</f>
        <v>3270</v>
      </c>
      <c r="W87" s="5" t="n">
        <v>2345</v>
      </c>
      <c r="X87" s="5" t="n">
        <v>571</v>
      </c>
      <c r="Y87" s="14" t="n">
        <f aca="false">W87-Q87</f>
        <v>0</v>
      </c>
      <c r="Z87" s="14" t="n">
        <f aca="false">X87-(R87-P87)</f>
        <v>0</v>
      </c>
      <c r="AA87" s="12" t="str">
        <f aca="false">IF(AND(Y87=0,Z87=0),"مطابق",IF(Y87+Z87&gt;0,"زيادة","عجز"))</f>
        <v>مطابق</v>
      </c>
      <c r="AB87" s="13" t="n">
        <f aca="false">V87-P87</f>
        <v>3149</v>
      </c>
    </row>
    <row r="88" customFormat="false" ht="15" hidden="false" customHeight="false" outlineLevel="0" collapsed="false">
      <c r="A88" s="11" t="n">
        <v>46287</v>
      </c>
      <c r="B88" s="12" t="s">
        <v>92</v>
      </c>
      <c r="C88" s="12" t="s">
        <v>94</v>
      </c>
      <c r="D88" s="4" t="s">
        <v>20</v>
      </c>
      <c r="E88" s="4"/>
      <c r="F88" s="5" t="n">
        <v>110</v>
      </c>
      <c r="G88" s="4"/>
      <c r="H88" s="4"/>
      <c r="I88" s="5"/>
      <c r="J88" s="4"/>
      <c r="K88" s="4"/>
      <c r="L88" s="5"/>
      <c r="M88" s="4"/>
      <c r="N88" s="4"/>
      <c r="O88" s="5"/>
      <c r="P88" s="13" t="n">
        <f aca="false">F88+I88+L88+O88</f>
        <v>110</v>
      </c>
      <c r="Q88" s="5" t="n">
        <v>3011</v>
      </c>
      <c r="R88" s="5" t="n">
        <v>960</v>
      </c>
      <c r="S88" s="5"/>
      <c r="T88" s="5"/>
      <c r="U88" s="5"/>
      <c r="V88" s="13" t="n">
        <f aca="false">SUM(Q88:U88)</f>
        <v>3971</v>
      </c>
      <c r="W88" s="5" t="n">
        <v>3011</v>
      </c>
      <c r="X88" s="5" t="n">
        <v>850</v>
      </c>
      <c r="Y88" s="14" t="n">
        <f aca="false">W88-Q88</f>
        <v>0</v>
      </c>
      <c r="Z88" s="14" t="n">
        <f aca="false">X88-(R88-P88)</f>
        <v>0</v>
      </c>
      <c r="AA88" s="12" t="str">
        <f aca="false">IF(AND(Y88=0,Z88=0),"مطابق",IF(Y88+Z88&gt;0,"زيادة","عجز"))</f>
        <v>مطابق</v>
      </c>
      <c r="AB88" s="13" t="n">
        <f aca="false">V88-P88</f>
        <v>3861</v>
      </c>
    </row>
    <row r="89" customFormat="false" ht="15" hidden="false" customHeight="false" outlineLevel="0" collapsed="false">
      <c r="A89" s="11" t="n">
        <v>46288</v>
      </c>
      <c r="B89" s="12" t="s">
        <v>85</v>
      </c>
      <c r="C89" s="12" t="s">
        <v>94</v>
      </c>
      <c r="D89" s="4" t="s">
        <v>13</v>
      </c>
      <c r="E89" s="4" t="s">
        <v>34</v>
      </c>
      <c r="F89" s="5" t="n">
        <v>150</v>
      </c>
      <c r="G89" s="4" t="s">
        <v>30</v>
      </c>
      <c r="H89" s="4"/>
      <c r="I89" s="5" t="n">
        <v>22</v>
      </c>
      <c r="J89" s="4" t="s">
        <v>20</v>
      </c>
      <c r="K89" s="4"/>
      <c r="L89" s="5" t="n">
        <v>134</v>
      </c>
      <c r="M89" s="4"/>
      <c r="N89" s="4"/>
      <c r="O89" s="5"/>
      <c r="P89" s="13" t="n">
        <f aca="false">F89+I89+L89+O89</f>
        <v>306</v>
      </c>
      <c r="Q89" s="5" t="n">
        <v>3269</v>
      </c>
      <c r="R89" s="5" t="n">
        <v>856</v>
      </c>
      <c r="S89" s="5" t="n">
        <v>212</v>
      </c>
      <c r="T89" s="5"/>
      <c r="U89" s="5"/>
      <c r="V89" s="13" t="n">
        <f aca="false">SUM(Q89:U89)</f>
        <v>4337</v>
      </c>
      <c r="W89" s="5" t="n">
        <v>3269</v>
      </c>
      <c r="X89" s="5" t="n">
        <v>578</v>
      </c>
      <c r="Y89" s="14" t="n">
        <f aca="false">W89-Q89</f>
        <v>0</v>
      </c>
      <c r="Z89" s="14" t="n">
        <f aca="false">X89-(R89-P89)</f>
        <v>28</v>
      </c>
      <c r="AA89" s="12" t="str">
        <f aca="false">IF(AND(Y89=0,Z89=0),"مطابق",IF(Y89+Z89&gt;0,"زيادة","عجز"))</f>
        <v>زيادة</v>
      </c>
      <c r="AB89" s="13" t="n">
        <f aca="false">V89-P89</f>
        <v>4031</v>
      </c>
    </row>
    <row r="90" customFormat="false" ht="15" hidden="false" customHeight="false" outlineLevel="0" collapsed="false">
      <c r="A90" s="11" t="n">
        <v>46289</v>
      </c>
      <c r="B90" s="12" t="s">
        <v>87</v>
      </c>
      <c r="C90" s="12" t="s">
        <v>94</v>
      </c>
      <c r="D90" s="4" t="s">
        <v>26</v>
      </c>
      <c r="E90" s="4"/>
      <c r="F90" s="5" t="n">
        <v>15</v>
      </c>
      <c r="G90" s="4"/>
      <c r="H90" s="4"/>
      <c r="I90" s="5"/>
      <c r="J90" s="4"/>
      <c r="K90" s="4"/>
      <c r="L90" s="5"/>
      <c r="M90" s="4"/>
      <c r="N90" s="4"/>
      <c r="O90" s="5"/>
      <c r="P90" s="13" t="n">
        <f aca="false">F90+I90+L90+O90</f>
        <v>15</v>
      </c>
      <c r="Q90" s="5" t="n">
        <v>2673</v>
      </c>
      <c r="R90" s="5" t="n">
        <v>637</v>
      </c>
      <c r="S90" s="5" t="n">
        <v>273</v>
      </c>
      <c r="T90" s="5" t="n">
        <v>324</v>
      </c>
      <c r="U90" s="5"/>
      <c r="V90" s="13" t="n">
        <f aca="false">SUM(Q90:U90)</f>
        <v>3907</v>
      </c>
      <c r="W90" s="5" t="n">
        <v>2683</v>
      </c>
      <c r="X90" s="5" t="n">
        <v>622</v>
      </c>
      <c r="Y90" s="14" t="n">
        <f aca="false">W90-Q90</f>
        <v>10</v>
      </c>
      <c r="Z90" s="14" t="n">
        <f aca="false">X90-(R90-P90)</f>
        <v>0</v>
      </c>
      <c r="AA90" s="12" t="str">
        <f aca="false">IF(AND(Y90=0,Z90=0),"مطابق",IF(Y90+Z90&gt;0,"زيادة","عجز"))</f>
        <v>زيادة</v>
      </c>
      <c r="AB90" s="13" t="n">
        <f aca="false">V90-P90</f>
        <v>3892</v>
      </c>
    </row>
    <row r="91" customFormat="false" ht="15" hidden="false" customHeight="false" outlineLevel="0" collapsed="false">
      <c r="A91" s="11" t="n">
        <v>46290</v>
      </c>
      <c r="B91" s="12" t="s">
        <v>88</v>
      </c>
      <c r="C91" s="12" t="s">
        <v>94</v>
      </c>
      <c r="D91" s="4" t="s">
        <v>13</v>
      </c>
      <c r="E91" s="4" t="s">
        <v>38</v>
      </c>
      <c r="F91" s="5" t="n">
        <v>300</v>
      </c>
      <c r="G91" s="4" t="s">
        <v>20</v>
      </c>
      <c r="H91" s="4"/>
      <c r="I91" s="5" t="n">
        <v>149</v>
      </c>
      <c r="J91" s="4" t="s">
        <v>20</v>
      </c>
      <c r="K91" s="4"/>
      <c r="L91" s="5" t="n">
        <v>99</v>
      </c>
      <c r="M91" s="4"/>
      <c r="N91" s="4"/>
      <c r="O91" s="5"/>
      <c r="P91" s="13" t="n">
        <f aca="false">F91+I91+L91+O91</f>
        <v>548</v>
      </c>
      <c r="Q91" s="5" t="n">
        <v>4165</v>
      </c>
      <c r="R91" s="5" t="n">
        <v>1708</v>
      </c>
      <c r="S91" s="5" t="n">
        <v>129</v>
      </c>
      <c r="T91" s="5"/>
      <c r="U91" s="5" t="n">
        <v>137</v>
      </c>
      <c r="V91" s="13" t="n">
        <f aca="false">SUM(Q91:U91)</f>
        <v>6139</v>
      </c>
      <c r="W91" s="5" t="n">
        <v>4165</v>
      </c>
      <c r="X91" s="5" t="n">
        <v>1160</v>
      </c>
      <c r="Y91" s="14" t="n">
        <f aca="false">W91-Q91</f>
        <v>0</v>
      </c>
      <c r="Z91" s="14" t="n">
        <f aca="false">X91-(R91-P91)</f>
        <v>0</v>
      </c>
      <c r="AA91" s="12" t="str">
        <f aca="false">IF(AND(Y91=0,Z91=0),"مطابق",IF(Y91+Z91&gt;0,"زيادة","عجز"))</f>
        <v>مطابق</v>
      </c>
      <c r="AB91" s="13" t="n">
        <f aca="false">V91-P91</f>
        <v>5591</v>
      </c>
    </row>
    <row r="92" customFormat="false" ht="15" hidden="false" customHeight="false" outlineLevel="0" collapsed="false">
      <c r="A92" s="11" t="n">
        <v>46291</v>
      </c>
      <c r="B92" s="12" t="s">
        <v>89</v>
      </c>
      <c r="C92" s="12" t="s">
        <v>94</v>
      </c>
      <c r="D92" s="4" t="s">
        <v>20</v>
      </c>
      <c r="E92" s="4"/>
      <c r="F92" s="5" t="n">
        <v>142</v>
      </c>
      <c r="G92" s="4" t="s">
        <v>20</v>
      </c>
      <c r="H92" s="4"/>
      <c r="I92" s="5" t="n">
        <v>46</v>
      </c>
      <c r="J92" s="4"/>
      <c r="K92" s="4"/>
      <c r="L92" s="5"/>
      <c r="M92" s="4"/>
      <c r="N92" s="4"/>
      <c r="O92" s="5"/>
      <c r="P92" s="13" t="n">
        <f aca="false">F92+I92+L92+O92</f>
        <v>188</v>
      </c>
      <c r="Q92" s="5" t="n">
        <v>3245</v>
      </c>
      <c r="R92" s="5" t="n">
        <v>831</v>
      </c>
      <c r="S92" s="5"/>
      <c r="T92" s="5"/>
      <c r="U92" s="5"/>
      <c r="V92" s="13" t="n">
        <f aca="false">SUM(Q92:U92)</f>
        <v>4076</v>
      </c>
      <c r="W92" s="5" t="n">
        <v>3245</v>
      </c>
      <c r="X92" s="5" t="n">
        <v>643</v>
      </c>
      <c r="Y92" s="14" t="n">
        <f aca="false">W92-Q92</f>
        <v>0</v>
      </c>
      <c r="Z92" s="14" t="n">
        <f aca="false">X92-(R92-P92)</f>
        <v>0</v>
      </c>
      <c r="AA92" s="12" t="str">
        <f aca="false">IF(AND(Y92=0,Z92=0),"مطابق",IF(Y92+Z92&gt;0,"زيادة","عجز"))</f>
        <v>مطابق</v>
      </c>
      <c r="AB92" s="13" t="n">
        <f aca="false">V92-P92</f>
        <v>3888</v>
      </c>
    </row>
    <row r="93" customFormat="false" ht="15" hidden="false" customHeight="false" outlineLevel="0" collapsed="false">
      <c r="A93" s="11" t="n">
        <v>46292</v>
      </c>
      <c r="B93" s="12" t="s">
        <v>90</v>
      </c>
      <c r="C93" s="12" t="s">
        <v>94</v>
      </c>
      <c r="D93" s="4" t="s">
        <v>26</v>
      </c>
      <c r="E93" s="4"/>
      <c r="F93" s="5" t="n">
        <v>22</v>
      </c>
      <c r="G93" s="4" t="s">
        <v>30</v>
      </c>
      <c r="H93" s="4"/>
      <c r="I93" s="5" t="n">
        <v>43</v>
      </c>
      <c r="J93" s="4"/>
      <c r="K93" s="4"/>
      <c r="L93" s="5"/>
      <c r="M93" s="4"/>
      <c r="N93" s="4"/>
      <c r="O93" s="5"/>
      <c r="P93" s="13" t="n">
        <f aca="false">F93+I93+L93+O93</f>
        <v>65</v>
      </c>
      <c r="Q93" s="5" t="n">
        <v>1916</v>
      </c>
      <c r="R93" s="5" t="n">
        <v>1070</v>
      </c>
      <c r="S93" s="5" t="n">
        <v>320</v>
      </c>
      <c r="T93" s="5"/>
      <c r="U93" s="5"/>
      <c r="V93" s="13" t="n">
        <f aca="false">SUM(Q93:U93)</f>
        <v>3306</v>
      </c>
      <c r="W93" s="5" t="n">
        <v>1916</v>
      </c>
      <c r="X93" s="5" t="n">
        <v>1005</v>
      </c>
      <c r="Y93" s="14" t="n">
        <f aca="false">W93-Q93</f>
        <v>0</v>
      </c>
      <c r="Z93" s="14" t="n">
        <f aca="false">X93-(R93-P93)</f>
        <v>0</v>
      </c>
      <c r="AA93" s="12" t="str">
        <f aca="false">IF(AND(Y93=0,Z93=0),"مطابق",IF(Y93+Z93&gt;0,"زيادة","عجز"))</f>
        <v>مطابق</v>
      </c>
      <c r="AB93" s="13" t="n">
        <f aca="false">V93-P93</f>
        <v>3241</v>
      </c>
    </row>
    <row r="94" customFormat="false" ht="15" hidden="false" customHeight="false" outlineLevel="0" collapsed="false">
      <c r="A94" s="11" t="n">
        <v>46293</v>
      </c>
      <c r="B94" s="12" t="s">
        <v>91</v>
      </c>
      <c r="C94" s="12" t="s">
        <v>94</v>
      </c>
      <c r="D94" s="4" t="s">
        <v>20</v>
      </c>
      <c r="E94" s="4"/>
      <c r="F94" s="5" t="n">
        <v>150</v>
      </c>
      <c r="G94" s="4" t="s">
        <v>26</v>
      </c>
      <c r="H94" s="4"/>
      <c r="I94" s="5" t="n">
        <v>35</v>
      </c>
      <c r="J94" s="4"/>
      <c r="K94" s="4"/>
      <c r="L94" s="5"/>
      <c r="M94" s="4"/>
      <c r="N94" s="4"/>
      <c r="O94" s="5"/>
      <c r="P94" s="13" t="n">
        <f aca="false">F94+I94+L94+O94</f>
        <v>185</v>
      </c>
      <c r="Q94" s="5" t="n">
        <v>3028</v>
      </c>
      <c r="R94" s="5" t="n">
        <v>768</v>
      </c>
      <c r="S94" s="5"/>
      <c r="T94" s="5"/>
      <c r="U94" s="5"/>
      <c r="V94" s="13" t="n">
        <f aca="false">SUM(Q94:U94)</f>
        <v>3796</v>
      </c>
      <c r="W94" s="5" t="n">
        <v>3028</v>
      </c>
      <c r="X94" s="5" t="n">
        <v>583</v>
      </c>
      <c r="Y94" s="14" t="n">
        <f aca="false">W94-Q94</f>
        <v>0</v>
      </c>
      <c r="Z94" s="14" t="n">
        <f aca="false">X94-(R94-P94)</f>
        <v>0</v>
      </c>
      <c r="AA94" s="12" t="str">
        <f aca="false">IF(AND(Y94=0,Z94=0),"مطابق",IF(Y94+Z94&gt;0,"زيادة","عجز"))</f>
        <v>مطابق</v>
      </c>
      <c r="AB94" s="13" t="n">
        <f aca="false">V94-P94</f>
        <v>3611</v>
      </c>
    </row>
    <row r="95" customFormat="false" ht="15" hidden="false" customHeight="false" outlineLevel="0" collapsed="false">
      <c r="A95" s="11" t="n">
        <v>46294</v>
      </c>
      <c r="B95" s="12" t="s">
        <v>92</v>
      </c>
      <c r="C95" s="12" t="s">
        <v>94</v>
      </c>
      <c r="D95" s="4" t="s">
        <v>13</v>
      </c>
      <c r="E95" s="4" t="s">
        <v>34</v>
      </c>
      <c r="F95" s="5" t="n">
        <v>300</v>
      </c>
      <c r="G95" s="4" t="s">
        <v>20</v>
      </c>
      <c r="H95" s="4"/>
      <c r="I95" s="5" t="n">
        <v>37</v>
      </c>
      <c r="J95" s="4"/>
      <c r="K95" s="4"/>
      <c r="L95" s="5"/>
      <c r="M95" s="4"/>
      <c r="N95" s="4"/>
      <c r="O95" s="5"/>
      <c r="P95" s="13" t="n">
        <f aca="false">F95+I95+L95+O95</f>
        <v>337</v>
      </c>
      <c r="Q95" s="5" t="n">
        <v>3231</v>
      </c>
      <c r="R95" s="5" t="n">
        <v>670</v>
      </c>
      <c r="S95" s="5"/>
      <c r="T95" s="5"/>
      <c r="U95" s="5"/>
      <c r="V95" s="13" t="n">
        <f aca="false">SUM(Q95:U95)</f>
        <v>3901</v>
      </c>
      <c r="W95" s="5" t="n">
        <v>3231</v>
      </c>
      <c r="X95" s="5" t="n">
        <v>310</v>
      </c>
      <c r="Y95" s="14" t="n">
        <f aca="false">W95-Q95</f>
        <v>0</v>
      </c>
      <c r="Z95" s="14" t="n">
        <f aca="false">X95-(R95-P95)</f>
        <v>-23</v>
      </c>
      <c r="AA95" s="12" t="str">
        <f aca="false">IF(AND(Y95=0,Z95=0),"مطابق",IF(Y95+Z95&gt;0,"زيادة","عجز"))</f>
        <v>عجز</v>
      </c>
      <c r="AB95" s="13" t="n">
        <f aca="false">V95-P95</f>
        <v>3564</v>
      </c>
    </row>
    <row r="96" customFormat="false" ht="15" hidden="false" customHeight="false" outlineLevel="0" collapsed="false">
      <c r="A96" s="11" t="n">
        <v>46295</v>
      </c>
      <c r="B96" s="12" t="s">
        <v>85</v>
      </c>
      <c r="C96" s="12" t="s">
        <v>94</v>
      </c>
      <c r="D96" s="4" t="s">
        <v>13</v>
      </c>
      <c r="E96" s="4" t="s">
        <v>38</v>
      </c>
      <c r="F96" s="5" t="n">
        <v>100</v>
      </c>
      <c r="G96" s="4" t="s">
        <v>26</v>
      </c>
      <c r="H96" s="4"/>
      <c r="I96" s="5" t="n">
        <v>56</v>
      </c>
      <c r="J96" s="4"/>
      <c r="K96" s="4"/>
      <c r="L96" s="5"/>
      <c r="M96" s="4"/>
      <c r="N96" s="4"/>
      <c r="O96" s="5"/>
      <c r="P96" s="13" t="n">
        <f aca="false">F96+I96+L96+O96</f>
        <v>156</v>
      </c>
      <c r="Q96" s="5" t="n">
        <v>3248</v>
      </c>
      <c r="R96" s="5" t="n">
        <v>912</v>
      </c>
      <c r="S96" s="5"/>
      <c r="T96" s="5"/>
      <c r="U96" s="5"/>
      <c r="V96" s="13" t="n">
        <f aca="false">SUM(Q96:U96)</f>
        <v>4160</v>
      </c>
      <c r="W96" s="5" t="n">
        <v>3248</v>
      </c>
      <c r="X96" s="5" t="n">
        <v>756</v>
      </c>
      <c r="Y96" s="14" t="n">
        <f aca="false">W96-Q96</f>
        <v>0</v>
      </c>
      <c r="Z96" s="14" t="n">
        <f aca="false">X96-(R96-P96)</f>
        <v>0</v>
      </c>
      <c r="AA96" s="12" t="str">
        <f aca="false">IF(AND(Y96=0,Z96=0),"مطابق",IF(Y96+Z96&gt;0,"زيادة","عجز"))</f>
        <v>مطابق</v>
      </c>
      <c r="AB96" s="13" t="n">
        <f aca="false">V96-P96</f>
        <v>4004</v>
      </c>
    </row>
    <row r="97" customFormat="false" ht="15" hidden="false" customHeight="false" outlineLevel="0" collapsed="false">
      <c r="A97" s="15" t="s">
        <v>95</v>
      </c>
      <c r="F97" s="16" t="n">
        <f aca="false">SUM(F5:F96)</f>
        <v>8376</v>
      </c>
      <c r="I97" s="16" t="n">
        <f aca="false">SUM(I5:I96)</f>
        <v>5423</v>
      </c>
      <c r="L97" s="16" t="n">
        <f aca="false">SUM(L5:L96)</f>
        <v>2058</v>
      </c>
      <c r="O97" s="16" t="n">
        <f aca="false">SUM(O5:O96)</f>
        <v>0</v>
      </c>
      <c r="P97" s="16" t="n">
        <f aca="false">SUM(P5:P96)</f>
        <v>15857</v>
      </c>
      <c r="Q97" s="16" t="n">
        <f aca="false">SUM(Q5:Q96)</f>
        <v>268048</v>
      </c>
      <c r="R97" s="16" t="n">
        <f aca="false">SUM(R5:R96)</f>
        <v>85287</v>
      </c>
      <c r="S97" s="16" t="n">
        <f aca="false">SUM(S5:S96)</f>
        <v>6344</v>
      </c>
      <c r="T97" s="16" t="n">
        <f aca="false">SUM(T5:T96)</f>
        <v>8140</v>
      </c>
      <c r="U97" s="16" t="n">
        <f aca="false">SUM(U5:U96)</f>
        <v>3977</v>
      </c>
      <c r="V97" s="16" t="n">
        <f aca="false">SUM(V5:V96)</f>
        <v>371796</v>
      </c>
      <c r="W97" s="16" t="n">
        <f aca="false">SUM(W5:W96)</f>
        <v>268036</v>
      </c>
      <c r="X97" s="16" t="n">
        <f aca="false">SUM(X5:X96)</f>
        <v>69535</v>
      </c>
      <c r="Y97" s="16" t="n">
        <f aca="false">SUM(Y5:Y96)</f>
        <v>-12</v>
      </c>
      <c r="Z97" s="16" t="n">
        <f aca="false">SUM(Z5:Z96)</f>
        <v>105</v>
      </c>
      <c r="AB97" s="16" t="n">
        <f aca="false">SUM(AB5:AB96)</f>
        <v>355939</v>
      </c>
    </row>
  </sheetData>
  <mergeCells count="6">
    <mergeCell ref="A1:AB1"/>
    <mergeCell ref="A2:AB2"/>
    <mergeCell ref="A3:C3"/>
    <mergeCell ref="D3:P3"/>
    <mergeCell ref="Q3:V3"/>
    <mergeCell ref="W3:AA3"/>
  </mergeCells>
  <dataValidations count="2">
    <dataValidation allowBlank="true" errorStyle="stop" operator="between" showDropDown="false" showErrorMessage="false" showInputMessage="false" sqref="D5:D96 G5:G96 J5:J96 M5:M96" type="list">
      <formula1>الإعدادات!$A$4:$A$7</formula1>
      <formula2>0</formula2>
    </dataValidation>
    <dataValidation allowBlank="true" errorStyle="stop" operator="between" showDropDown="false" showErrorMessage="false" showInputMessage="false" sqref="E5:E96 H5:H96 K5:K96 N5:N96" type="list">
      <formula1>الإعدادات!$C$4:$C$9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17" min="3" style="0" width="11"/>
  </cols>
  <sheetData>
    <row r="1" customFormat="false" ht="30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true" outlineLevel="0" collapsed="false">
      <c r="A2" s="2" t="s">
        <v>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31.5" hidden="false" customHeight="true" outlineLevel="0" collapsed="false">
      <c r="A4" s="3" t="s">
        <v>98</v>
      </c>
      <c r="B4" s="3" t="s">
        <v>59</v>
      </c>
      <c r="C4" s="3" t="s">
        <v>3</v>
      </c>
      <c r="D4" s="3" t="s">
        <v>99</v>
      </c>
      <c r="E4" s="3" t="s">
        <v>100</v>
      </c>
      <c r="F4" s="3" t="s">
        <v>101</v>
      </c>
      <c r="G4" s="3" t="s">
        <v>102</v>
      </c>
      <c r="H4" s="3" t="s">
        <v>103</v>
      </c>
      <c r="I4" s="3" t="s">
        <v>104</v>
      </c>
      <c r="J4" s="3" t="s">
        <v>105</v>
      </c>
      <c r="K4" s="3" t="s">
        <v>106</v>
      </c>
      <c r="L4" s="3" t="s">
        <v>107</v>
      </c>
      <c r="M4" s="3" t="s">
        <v>108</v>
      </c>
      <c r="N4" s="3" t="s">
        <v>109</v>
      </c>
      <c r="O4" s="3" t="s">
        <v>110</v>
      </c>
      <c r="P4" s="3" t="s">
        <v>111</v>
      </c>
      <c r="Q4" s="3" t="s">
        <v>112</v>
      </c>
    </row>
    <row r="5" customFormat="false" ht="15" hidden="false" customHeight="false" outlineLevel="0" collapsed="false">
      <c r="A5" s="12" t="n">
        <v>2026</v>
      </c>
      <c r="B5" s="12" t="s">
        <v>86</v>
      </c>
      <c r="C5" s="6" t="s">
        <v>14</v>
      </c>
      <c r="D5" s="14" t="n">
        <f aca="false">INDEX(الإعدادات!$D$4:$D$9,MATCH(C5,الإعدادات!$C$4:$C$9,0))</f>
        <v>3000</v>
      </c>
      <c r="E5" s="14" t="n">
        <f aca="false">INDEX(الإعدادات!$E$4:$E$9,MATCH(C5,الإعدادات!$C$4:$C$9,0))</f>
        <v>300</v>
      </c>
      <c r="F5" s="5" t="n">
        <v>10379</v>
      </c>
      <c r="G5" s="14" t="n">
        <f aca="false">MAX(0,F5-الإعدادات!$N$5)*الإعدادات!$N$6</f>
        <v>2213.7</v>
      </c>
      <c r="H5" s="14" t="n">
        <f aca="false">IF(F5&gt;=الإعدادات!$N$7,الإعدادات!$N$8,0)</f>
        <v>300</v>
      </c>
      <c r="I5" s="8" t="n">
        <v>8</v>
      </c>
      <c r="J5" s="14" t="n">
        <f aca="false">I5*الإعدادات!$N$9</f>
        <v>160</v>
      </c>
      <c r="K5" s="5"/>
      <c r="L5" s="13" t="n">
        <f aca="false">D5+E5+G5+H5+J5+K5</f>
        <v>5973.7</v>
      </c>
      <c r="M5" s="8"/>
      <c r="N5" s="14" t="n">
        <f aca="false">M5*D5/الإعدادات!$N$10</f>
        <v>0</v>
      </c>
      <c r="O5" s="14" t="n">
        <f aca="false">SUMIFS(اليومية!$F$5:$F$96,اليومية!$D$5:$D$96,"سلفة",اليومية!$E$5:$E$96,$C5,اليومية!$C$5:$C$96,$B5)+SUMIFS(اليومية!$I$5:$I$96,اليومية!$G$5:$G$96,"سلفة",اليومية!$H$5:$H$96,$C5,اليومية!$C$5:$C$96,$B5)+SUMIFS(اليومية!$L$5:$L$96,اليومية!$J$5:$J$96,"سلفة",اليومية!$K$5:$K$96,$C5,اليومية!$C$5:$C$96,$B5)+SUMIFS(اليومية!$O$5:$O$96,اليومية!$M$5:$M$96,"سلفة",اليومية!$N$5:$N$96,$C5,اليومية!$C$5:$C$96,$B5)</f>
        <v>550</v>
      </c>
      <c r="P5" s="14" t="n">
        <f aca="false">N5+O5</f>
        <v>550</v>
      </c>
      <c r="Q5" s="16" t="n">
        <f aca="false">L5-P5</f>
        <v>5423.7</v>
      </c>
    </row>
    <row r="6" customFormat="false" ht="15" hidden="false" customHeight="false" outlineLevel="0" collapsed="false">
      <c r="A6" s="12" t="n">
        <v>2026</v>
      </c>
      <c r="B6" s="12" t="s">
        <v>86</v>
      </c>
      <c r="C6" s="6" t="s">
        <v>21</v>
      </c>
      <c r="D6" s="14" t="n">
        <f aca="false">INDEX(الإعدادات!$D$4:$D$9,MATCH(C6,الإعدادات!$C$4:$C$9,0))</f>
        <v>2800</v>
      </c>
      <c r="E6" s="14" t="n">
        <f aca="false">INDEX(الإعدادات!$E$4:$E$9,MATCH(C6,الإعدادات!$C$4:$C$9,0))</f>
        <v>300</v>
      </c>
      <c r="F6" s="5" t="n">
        <v>12808</v>
      </c>
      <c r="G6" s="14" t="n">
        <f aca="false">MAX(0,F6-الإعدادات!$N$5)*الإعدادات!$N$6</f>
        <v>2942.4</v>
      </c>
      <c r="H6" s="14" t="n">
        <f aca="false">IF(F6&gt;=الإعدادات!$N$7,الإعدادات!$N$8,0)</f>
        <v>300</v>
      </c>
      <c r="I6" s="8" t="n">
        <v>4</v>
      </c>
      <c r="J6" s="14" t="n">
        <f aca="false">I6*الإعدادات!$N$9</f>
        <v>80</v>
      </c>
      <c r="K6" s="5"/>
      <c r="L6" s="13" t="n">
        <f aca="false">D6+E6+G6+H6+J6+K6</f>
        <v>6422.4</v>
      </c>
      <c r="M6" s="8" t="n">
        <v>1</v>
      </c>
      <c r="N6" s="14" t="n">
        <f aca="false">M6*D6/الإعدادات!$N$10</f>
        <v>93.3333333333333</v>
      </c>
      <c r="O6" s="14" t="n">
        <f aca="false">SUMIFS(اليومية!$F$5:$F$96,اليومية!$D$5:$D$96,"سلفة",اليومية!$E$5:$E$96,$C6,اليومية!$C$5:$C$96,$B6)+SUMIFS(اليومية!$I$5:$I$96,اليومية!$G$5:$G$96,"سلفة",اليومية!$H$5:$H$96,$C6,اليومية!$C$5:$C$96,$B6)+SUMIFS(اليومية!$L$5:$L$96,اليومية!$J$5:$J$96,"سلفة",اليومية!$K$5:$K$96,$C6,اليومية!$C$5:$C$96,$B6)+SUMIFS(اليومية!$O$5:$O$96,اليومية!$M$5:$M$96,"سلفة",اليومية!$N$5:$N$96,$C6,اليومية!$C$5:$C$96,$B6)</f>
        <v>0</v>
      </c>
      <c r="P6" s="14" t="n">
        <f aca="false">N6+O6</f>
        <v>93.3333333333333</v>
      </c>
      <c r="Q6" s="16" t="n">
        <f aca="false">L6-P6</f>
        <v>6329.06666666667</v>
      </c>
    </row>
    <row r="7" customFormat="false" ht="15" hidden="false" customHeight="false" outlineLevel="0" collapsed="false">
      <c r="A7" s="12" t="n">
        <v>2026</v>
      </c>
      <c r="B7" s="12" t="s">
        <v>86</v>
      </c>
      <c r="C7" s="6" t="s">
        <v>27</v>
      </c>
      <c r="D7" s="14" t="n">
        <f aca="false">INDEX(الإعدادات!$D$4:$D$9,MATCH(C7,الإعدادات!$C$4:$C$9,0))</f>
        <v>2800</v>
      </c>
      <c r="E7" s="14" t="n">
        <f aca="false">INDEX(الإعدادات!$E$4:$E$9,MATCH(C7,الإعدادات!$C$4:$C$9,0))</f>
        <v>300</v>
      </c>
      <c r="F7" s="5" t="n">
        <v>14505</v>
      </c>
      <c r="G7" s="14" t="n">
        <f aca="false">MAX(0,F7-الإعدادات!$N$5)*الإعدادات!$N$6</f>
        <v>3451.5</v>
      </c>
      <c r="H7" s="14" t="n">
        <f aca="false">IF(F7&gt;=الإعدادات!$N$7,الإعدادات!$N$8,0)</f>
        <v>300</v>
      </c>
      <c r="I7" s="8"/>
      <c r="J7" s="14" t="n">
        <f aca="false">I7*الإعدادات!$N$9</f>
        <v>0</v>
      </c>
      <c r="K7" s="5" t="n">
        <v>150</v>
      </c>
      <c r="L7" s="13" t="n">
        <f aca="false">D7+E7+G7+H7+J7+K7</f>
        <v>7001.5</v>
      </c>
      <c r="M7" s="8"/>
      <c r="N7" s="14" t="n">
        <f aca="false">M7*D7/الإعدادات!$N$10</f>
        <v>0</v>
      </c>
      <c r="O7" s="14" t="n">
        <f aca="false">SUMIFS(اليومية!$F$5:$F$96,اليومية!$D$5:$D$96,"سلفة",اليومية!$E$5:$E$96,$C7,اليومية!$C$5:$C$96,$B7)+SUMIFS(اليومية!$I$5:$I$96,اليومية!$G$5:$G$96,"سلفة",اليومية!$H$5:$H$96,$C7,اليومية!$C$5:$C$96,$B7)+SUMIFS(اليومية!$L$5:$L$96,اليومية!$J$5:$J$96,"سلفة",اليومية!$K$5:$K$96,$C7,اليومية!$C$5:$C$96,$B7)+SUMIFS(اليومية!$O$5:$O$96,اليومية!$M$5:$M$96,"سلفة",اليومية!$N$5:$N$96,$C7,اليومية!$C$5:$C$96,$B7)</f>
        <v>300</v>
      </c>
      <c r="P7" s="14" t="n">
        <f aca="false">N7+O7</f>
        <v>300</v>
      </c>
      <c r="Q7" s="16" t="n">
        <f aca="false">L7-P7</f>
        <v>6701.5</v>
      </c>
    </row>
    <row r="8" customFormat="false" ht="15" hidden="false" customHeight="false" outlineLevel="0" collapsed="false">
      <c r="A8" s="12" t="n">
        <v>2026</v>
      </c>
      <c r="B8" s="12" t="s">
        <v>86</v>
      </c>
      <c r="C8" s="6" t="s">
        <v>31</v>
      </c>
      <c r="D8" s="14" t="n">
        <f aca="false">INDEX(الإعدادات!$D$4:$D$9,MATCH(C8,الإعدادات!$C$4:$C$9,0))</f>
        <v>2500</v>
      </c>
      <c r="E8" s="14" t="n">
        <f aca="false">INDEX(الإعدادات!$E$4:$E$9,MATCH(C8,الإعدادات!$C$4:$C$9,0))</f>
        <v>250</v>
      </c>
      <c r="F8" s="5" t="n">
        <v>14210</v>
      </c>
      <c r="G8" s="14" t="n">
        <f aca="false">MAX(0,F8-الإعدادات!$N$5)*الإعدادات!$N$6</f>
        <v>3363</v>
      </c>
      <c r="H8" s="14" t="n">
        <f aca="false">IF(F8&gt;=الإعدادات!$N$7,الإعدادات!$N$8,0)</f>
        <v>300</v>
      </c>
      <c r="I8" s="8" t="n">
        <v>10</v>
      </c>
      <c r="J8" s="14" t="n">
        <f aca="false">I8*الإعدادات!$N$9</f>
        <v>200</v>
      </c>
      <c r="K8" s="5" t="n">
        <v>-100</v>
      </c>
      <c r="L8" s="13" t="n">
        <f aca="false">D8+E8+G8+H8+J8+K8</f>
        <v>6513</v>
      </c>
      <c r="M8" s="8"/>
      <c r="N8" s="14" t="n">
        <f aca="false">M8*D8/الإعدادات!$N$10</f>
        <v>0</v>
      </c>
      <c r="O8" s="14" t="n">
        <f aca="false">SUMIFS(اليومية!$F$5:$F$96,اليومية!$D$5:$D$96,"سلفة",اليومية!$E$5:$E$96,$C8,اليومية!$C$5:$C$96,$B8)+SUMIFS(اليومية!$I$5:$I$96,اليومية!$G$5:$G$96,"سلفة",اليومية!$H$5:$H$96,$C8,اليومية!$C$5:$C$96,$B8)+SUMIFS(اليومية!$L$5:$L$96,اليومية!$J$5:$J$96,"سلفة",اليومية!$K$5:$K$96,$C8,اليومية!$C$5:$C$96,$B8)+SUMIFS(اليومية!$O$5:$O$96,اليومية!$M$5:$M$96,"سلفة",اليومية!$N$5:$N$96,$C8,اليومية!$C$5:$C$96,$B8)</f>
        <v>600</v>
      </c>
      <c r="P8" s="14" t="n">
        <f aca="false">N8+O8</f>
        <v>600</v>
      </c>
      <c r="Q8" s="16" t="n">
        <f aca="false">L8-P8</f>
        <v>5913</v>
      </c>
    </row>
    <row r="9" customFormat="false" ht="15" hidden="false" customHeight="false" outlineLevel="0" collapsed="false">
      <c r="A9" s="12" t="n">
        <v>2026</v>
      </c>
      <c r="B9" s="12" t="s">
        <v>86</v>
      </c>
      <c r="C9" s="6" t="s">
        <v>34</v>
      </c>
      <c r="D9" s="14" t="n">
        <f aca="false">INDEX(الإعدادات!$D$4:$D$9,MATCH(C9,الإعدادات!$C$4:$C$9,0))</f>
        <v>2500</v>
      </c>
      <c r="E9" s="14" t="n">
        <f aca="false">INDEX(الإعدادات!$E$4:$E$9,MATCH(C9,الإعدادات!$C$4:$C$9,0))</f>
        <v>250</v>
      </c>
      <c r="F9" s="5" t="n">
        <v>10694</v>
      </c>
      <c r="G9" s="14" t="n">
        <f aca="false">MAX(0,F9-الإعدادات!$N$5)*الإعدادات!$N$6</f>
        <v>2308.2</v>
      </c>
      <c r="H9" s="14" t="n">
        <f aca="false">IF(F9&gt;=الإعدادات!$N$7,الإعدادات!$N$8,0)</f>
        <v>300</v>
      </c>
      <c r="I9" s="8"/>
      <c r="J9" s="14" t="n">
        <f aca="false">I9*الإعدادات!$N$9</f>
        <v>0</v>
      </c>
      <c r="K9" s="5"/>
      <c r="L9" s="13" t="n">
        <f aca="false">D9+E9+G9+H9+J9+K9</f>
        <v>5358.2</v>
      </c>
      <c r="M9" s="8"/>
      <c r="N9" s="14" t="n">
        <f aca="false">M9*D9/الإعدادات!$N$10</f>
        <v>0</v>
      </c>
      <c r="O9" s="14" t="n">
        <f aca="false">SUMIFS(اليومية!$F$5:$F$96,اليومية!$D$5:$D$96,"سلفة",اليومية!$E$5:$E$96,$C9,اليومية!$C$5:$C$96,$B9)+SUMIFS(اليومية!$I$5:$I$96,اليومية!$G$5:$G$96,"سلفة",اليومية!$H$5:$H$96,$C9,اليومية!$C$5:$C$96,$B9)+SUMIFS(اليومية!$L$5:$L$96,اليومية!$J$5:$J$96,"سلفة",اليومية!$K$5:$K$96,$C9,اليومية!$C$5:$C$96,$B9)+SUMIFS(اليومية!$O$5:$O$96,اليومية!$M$5:$M$96,"سلفة",اليومية!$N$5:$N$96,$C9,اليومية!$C$5:$C$96,$B9)</f>
        <v>550</v>
      </c>
      <c r="P9" s="14" t="n">
        <f aca="false">N9+O9</f>
        <v>550</v>
      </c>
      <c r="Q9" s="16" t="n">
        <f aca="false">L9-P9</f>
        <v>4808.2</v>
      </c>
    </row>
    <row r="10" customFormat="false" ht="15" hidden="false" customHeight="false" outlineLevel="0" collapsed="false">
      <c r="A10" s="12" t="n">
        <v>2026</v>
      </c>
      <c r="B10" s="12" t="s">
        <v>86</v>
      </c>
      <c r="C10" s="6" t="s">
        <v>38</v>
      </c>
      <c r="D10" s="14" t="n">
        <f aca="false">INDEX(الإعدادات!$D$4:$D$9,MATCH(C10,الإعدادات!$C$4:$C$9,0))</f>
        <v>2200</v>
      </c>
      <c r="E10" s="14" t="n">
        <f aca="false">INDEX(الإعدادات!$E$4:$E$9,MATCH(C10,الإعدادات!$C$4:$C$9,0))</f>
        <v>200</v>
      </c>
      <c r="F10" s="5" t="n">
        <v>14252</v>
      </c>
      <c r="G10" s="14" t="n">
        <f aca="false">MAX(0,F10-الإعدادات!$N$5)*الإعدادات!$N$6</f>
        <v>3375.6</v>
      </c>
      <c r="H10" s="14" t="n">
        <f aca="false">IF(F10&gt;=الإعدادات!$N$7,الإعدادات!$N$8,0)</f>
        <v>300</v>
      </c>
      <c r="I10" s="8" t="n">
        <v>4</v>
      </c>
      <c r="J10" s="14" t="n">
        <f aca="false">I10*الإعدادات!$N$9</f>
        <v>80</v>
      </c>
      <c r="K10" s="5"/>
      <c r="L10" s="13" t="n">
        <f aca="false">D10+E10+G10+H10+J10+K10</f>
        <v>6155.6</v>
      </c>
      <c r="M10" s="8" t="n">
        <v>2</v>
      </c>
      <c r="N10" s="14" t="n">
        <f aca="false">M10*D10/الإعدادات!$N$10</f>
        <v>146.666666666667</v>
      </c>
      <c r="O10" s="14" t="n">
        <f aca="false">SUMIFS(اليومية!$F$5:$F$96,اليومية!$D$5:$D$96,"سلفة",اليومية!$E$5:$E$96,$C10,اليومية!$C$5:$C$96,$B10)+SUMIFS(اليومية!$I$5:$I$96,اليومية!$G$5:$G$96,"سلفة",اليومية!$H$5:$H$96,$C10,اليومية!$C$5:$C$96,$B10)+SUMIFS(اليومية!$L$5:$L$96,اليومية!$J$5:$J$96,"سلفة",اليومية!$K$5:$K$96,$C10,اليومية!$C$5:$C$96,$B10)+SUMIFS(اليومية!$O$5:$O$96,اليومية!$M$5:$M$96,"سلفة",اليومية!$N$5:$N$96,$C10,اليومية!$C$5:$C$96,$B10)</f>
        <v>0</v>
      </c>
      <c r="P10" s="14" t="n">
        <f aca="false">N10+O10</f>
        <v>146.666666666667</v>
      </c>
      <c r="Q10" s="16" t="n">
        <f aca="false">L10-P10</f>
        <v>6008.93333333333</v>
      </c>
    </row>
    <row r="11" customFormat="false" ht="15" hidden="false" customHeight="false" outlineLevel="0" collapsed="false">
      <c r="A11" s="12" t="n">
        <v>2026</v>
      </c>
      <c r="B11" s="12" t="s">
        <v>93</v>
      </c>
      <c r="C11" s="6" t="s">
        <v>14</v>
      </c>
      <c r="D11" s="14" t="n">
        <f aca="false">INDEX(الإعدادات!$D$4:$D$9,MATCH(C11,الإعدادات!$C$4:$C$9,0))</f>
        <v>3000</v>
      </c>
      <c r="E11" s="14" t="n">
        <f aca="false">INDEX(الإعدادات!$E$4:$E$9,MATCH(C11,الإعدادات!$C$4:$C$9,0))</f>
        <v>300</v>
      </c>
      <c r="F11" s="5" t="n">
        <v>11191</v>
      </c>
      <c r="G11" s="14" t="n">
        <f aca="false">MAX(0,F11-الإعدادات!$N$5)*الإعدادات!$N$6</f>
        <v>2457.3</v>
      </c>
      <c r="H11" s="14" t="n">
        <f aca="false">IF(F11&gt;=الإعدادات!$N$7,الإعدادات!$N$8,0)</f>
        <v>300</v>
      </c>
      <c r="I11" s="8" t="n">
        <v>10</v>
      </c>
      <c r="J11" s="14" t="n">
        <f aca="false">I11*الإعدادات!$N$9</f>
        <v>200</v>
      </c>
      <c r="K11" s="5" t="n">
        <v>-100</v>
      </c>
      <c r="L11" s="13" t="n">
        <f aca="false">D11+E11+G11+H11+J11+K11</f>
        <v>6157.3</v>
      </c>
      <c r="M11" s="8"/>
      <c r="N11" s="14" t="n">
        <f aca="false">M11*D11/الإعدادات!$N$10</f>
        <v>0</v>
      </c>
      <c r="O11" s="14" t="n">
        <f aca="false">SUMIFS(اليومية!$F$5:$F$96,اليومية!$D$5:$D$96,"سلفة",اليومية!$E$5:$E$96,$C11,اليومية!$C$5:$C$96,$B11)+SUMIFS(اليومية!$I$5:$I$96,اليومية!$G$5:$G$96,"سلفة",اليومية!$H$5:$H$96,$C11,اليومية!$C$5:$C$96,$B11)+SUMIFS(اليومية!$L$5:$L$96,اليومية!$J$5:$J$96,"سلفة",اليومية!$K$5:$K$96,$C11,اليومية!$C$5:$C$96,$B11)+SUMIFS(اليومية!$O$5:$O$96,اليومية!$M$5:$M$96,"سلفة",اليومية!$N$5:$N$96,$C11,اليومية!$C$5:$C$96,$B11)</f>
        <v>300</v>
      </c>
      <c r="P11" s="14" t="n">
        <f aca="false">N11+O11</f>
        <v>300</v>
      </c>
      <c r="Q11" s="16" t="n">
        <f aca="false">L11-P11</f>
        <v>5857.3</v>
      </c>
    </row>
    <row r="12" customFormat="false" ht="15" hidden="false" customHeight="false" outlineLevel="0" collapsed="false">
      <c r="A12" s="12" t="n">
        <v>2026</v>
      </c>
      <c r="B12" s="12" t="s">
        <v>93</v>
      </c>
      <c r="C12" s="6" t="s">
        <v>21</v>
      </c>
      <c r="D12" s="14" t="n">
        <f aca="false">INDEX(الإعدادات!$D$4:$D$9,MATCH(C12,الإعدادات!$C$4:$C$9,0))</f>
        <v>2800</v>
      </c>
      <c r="E12" s="14" t="n">
        <f aca="false">INDEX(الإعدادات!$E$4:$E$9,MATCH(C12,الإعدادات!$C$4:$C$9,0))</f>
        <v>300</v>
      </c>
      <c r="F12" s="5" t="n">
        <v>16758</v>
      </c>
      <c r="G12" s="14" t="n">
        <f aca="false">MAX(0,F12-الإعدادات!$N$5)*الإعدادات!$N$6</f>
        <v>4127.4</v>
      </c>
      <c r="H12" s="14" t="n">
        <f aca="false">IF(F12&gt;=الإعدادات!$N$7,الإعدادات!$N$8,0)</f>
        <v>300</v>
      </c>
      <c r="I12" s="8" t="n">
        <v>8</v>
      </c>
      <c r="J12" s="14" t="n">
        <f aca="false">I12*الإعدادات!$N$9</f>
        <v>160</v>
      </c>
      <c r="K12" s="5"/>
      <c r="L12" s="13" t="n">
        <f aca="false">D12+E12+G12+H12+J12+K12</f>
        <v>7687.4</v>
      </c>
      <c r="M12" s="8"/>
      <c r="N12" s="14" t="n">
        <f aca="false">M12*D12/الإعدادات!$N$10</f>
        <v>0</v>
      </c>
      <c r="O12" s="14" t="n">
        <f aca="false">SUMIFS(اليومية!$F$5:$F$96,اليومية!$D$5:$D$96,"سلفة",اليومية!$E$5:$E$96,$C12,اليومية!$C$5:$C$96,$B12)+SUMIFS(اليومية!$I$5:$I$96,اليومية!$G$5:$G$96,"سلفة",اليومية!$H$5:$H$96,$C12,اليومية!$C$5:$C$96,$B12)+SUMIFS(اليومية!$L$5:$L$96,اليومية!$J$5:$J$96,"سلفة",اليومية!$K$5:$K$96,$C12,اليومية!$C$5:$C$96,$B12)+SUMIFS(اليومية!$O$5:$O$96,اليومية!$M$5:$M$96,"سلفة",اليومية!$N$5:$N$96,$C12,اليومية!$C$5:$C$96,$B12)</f>
        <v>800</v>
      </c>
      <c r="P12" s="14" t="n">
        <f aca="false">N12+O12</f>
        <v>800</v>
      </c>
      <c r="Q12" s="16" t="n">
        <f aca="false">L12-P12</f>
        <v>6887.4</v>
      </c>
    </row>
    <row r="13" customFormat="false" ht="15" hidden="false" customHeight="false" outlineLevel="0" collapsed="false">
      <c r="A13" s="12" t="n">
        <v>2026</v>
      </c>
      <c r="B13" s="12" t="s">
        <v>93</v>
      </c>
      <c r="C13" s="6" t="s">
        <v>27</v>
      </c>
      <c r="D13" s="14" t="n">
        <f aca="false">INDEX(الإعدادات!$D$4:$D$9,MATCH(C13,الإعدادات!$C$4:$C$9,0))</f>
        <v>2800</v>
      </c>
      <c r="E13" s="14" t="n">
        <f aca="false">INDEX(الإعدادات!$E$4:$E$9,MATCH(C13,الإعدادات!$C$4:$C$9,0))</f>
        <v>300</v>
      </c>
      <c r="F13" s="5" t="n">
        <v>13925</v>
      </c>
      <c r="G13" s="14" t="n">
        <f aca="false">MAX(0,F13-الإعدادات!$N$5)*الإعدادات!$N$6</f>
        <v>3277.5</v>
      </c>
      <c r="H13" s="14" t="n">
        <f aca="false">IF(F13&gt;=الإعدادات!$N$7,الإعدادات!$N$8,0)</f>
        <v>300</v>
      </c>
      <c r="I13" s="8"/>
      <c r="J13" s="14" t="n">
        <f aca="false">I13*الإعدادات!$N$9</f>
        <v>0</v>
      </c>
      <c r="K13" s="5"/>
      <c r="L13" s="13" t="n">
        <f aca="false">D13+E13+G13+H13+J13+K13</f>
        <v>6677.5</v>
      </c>
      <c r="M13" s="8"/>
      <c r="N13" s="14" t="n">
        <f aca="false">M13*D13/الإعدادات!$N$10</f>
        <v>0</v>
      </c>
      <c r="O13" s="14" t="n">
        <f aca="false">SUMIFS(اليومية!$F$5:$F$96,اليومية!$D$5:$D$96,"سلفة",اليومية!$E$5:$E$96,$C13,اليومية!$C$5:$C$96,$B13)+SUMIFS(اليومية!$I$5:$I$96,اليومية!$G$5:$G$96,"سلفة",اليومية!$H$5:$H$96,$C13,اليومية!$C$5:$C$96,$B13)+SUMIFS(اليومية!$L$5:$L$96,اليومية!$J$5:$J$96,"سلفة",اليومية!$K$5:$K$96,$C13,اليومية!$C$5:$C$96,$B13)+SUMIFS(اليومية!$O$5:$O$96,اليومية!$M$5:$M$96,"سلفة",اليومية!$N$5:$N$96,$C13,اليومية!$C$5:$C$96,$B13)</f>
        <v>300</v>
      </c>
      <c r="P13" s="14" t="n">
        <f aca="false">N13+O13</f>
        <v>300</v>
      </c>
      <c r="Q13" s="16" t="n">
        <f aca="false">L13-P13</f>
        <v>6377.5</v>
      </c>
    </row>
    <row r="14" customFormat="false" ht="15" hidden="false" customHeight="false" outlineLevel="0" collapsed="false">
      <c r="A14" s="12" t="n">
        <v>2026</v>
      </c>
      <c r="B14" s="12" t="s">
        <v>93</v>
      </c>
      <c r="C14" s="6" t="s">
        <v>31</v>
      </c>
      <c r="D14" s="14" t="n">
        <f aca="false">INDEX(الإعدادات!$D$4:$D$9,MATCH(C14,الإعدادات!$C$4:$C$9,0))</f>
        <v>2500</v>
      </c>
      <c r="E14" s="14" t="n">
        <f aca="false">INDEX(الإعدادات!$E$4:$E$9,MATCH(C14,الإعدادات!$C$4:$C$9,0))</f>
        <v>250</v>
      </c>
      <c r="F14" s="5" t="n">
        <v>11431</v>
      </c>
      <c r="G14" s="14" t="n">
        <f aca="false">MAX(0,F14-الإعدادات!$N$5)*الإعدادات!$N$6</f>
        <v>2529.3</v>
      </c>
      <c r="H14" s="14" t="n">
        <f aca="false">IF(F14&gt;=الإعدادات!$N$7,الإعدادات!$N$8,0)</f>
        <v>300</v>
      </c>
      <c r="I14" s="8"/>
      <c r="J14" s="14" t="n">
        <f aca="false">I14*الإعدادات!$N$9</f>
        <v>0</v>
      </c>
      <c r="K14" s="5"/>
      <c r="L14" s="13" t="n">
        <f aca="false">D14+E14+G14+H14+J14+K14</f>
        <v>5579.3</v>
      </c>
      <c r="M14" s="8" t="n">
        <v>1</v>
      </c>
      <c r="N14" s="14" t="n">
        <f aca="false">M14*D14/الإعدادات!$N$10</f>
        <v>83.3333333333333</v>
      </c>
      <c r="O14" s="14" t="n">
        <f aca="false">SUMIFS(اليومية!$F$5:$F$96,اليومية!$D$5:$D$96,"سلفة",اليومية!$E$5:$E$96,$C14,اليومية!$C$5:$C$96,$B14)+SUMIFS(اليومية!$I$5:$I$96,اليومية!$G$5:$G$96,"سلفة",اليومية!$H$5:$H$96,$C14,اليومية!$C$5:$C$96,$B14)+SUMIFS(اليومية!$L$5:$L$96,اليومية!$J$5:$J$96,"سلفة",اليومية!$K$5:$K$96,$C14,اليومية!$C$5:$C$96,$B14)+SUMIFS(اليومية!$O$5:$O$96,اليومية!$M$5:$M$96,"سلفة",اليومية!$N$5:$N$96,$C14,اليومية!$C$5:$C$96,$B14)</f>
        <v>1250</v>
      </c>
      <c r="P14" s="14" t="n">
        <f aca="false">N14+O14</f>
        <v>1333.33333333333</v>
      </c>
      <c r="Q14" s="16" t="n">
        <f aca="false">L14-P14</f>
        <v>4245.96666666667</v>
      </c>
    </row>
    <row r="15" customFormat="false" ht="15" hidden="false" customHeight="false" outlineLevel="0" collapsed="false">
      <c r="A15" s="12" t="n">
        <v>2026</v>
      </c>
      <c r="B15" s="12" t="s">
        <v>93</v>
      </c>
      <c r="C15" s="6" t="s">
        <v>34</v>
      </c>
      <c r="D15" s="14" t="n">
        <f aca="false">INDEX(الإعدادات!$D$4:$D$9,MATCH(C15,الإعدادات!$C$4:$C$9,0))</f>
        <v>2500</v>
      </c>
      <c r="E15" s="14" t="n">
        <f aca="false">INDEX(الإعدادات!$E$4:$E$9,MATCH(C15,الإعدادات!$C$4:$C$9,0))</f>
        <v>250</v>
      </c>
      <c r="F15" s="5" t="n">
        <v>12030</v>
      </c>
      <c r="G15" s="14" t="n">
        <f aca="false">MAX(0,F15-الإعدادات!$N$5)*الإعدادات!$N$6</f>
        <v>2709</v>
      </c>
      <c r="H15" s="14" t="n">
        <f aca="false">IF(F15&gt;=الإعدادات!$N$7,الإعدادات!$N$8,0)</f>
        <v>300</v>
      </c>
      <c r="I15" s="8" t="n">
        <v>10</v>
      </c>
      <c r="J15" s="14" t="n">
        <f aca="false">I15*الإعدادات!$N$9</f>
        <v>200</v>
      </c>
      <c r="K15" s="5" t="n">
        <v>-100</v>
      </c>
      <c r="L15" s="13" t="n">
        <f aca="false">D15+E15+G15+H15+J15+K15</f>
        <v>5859</v>
      </c>
      <c r="M15" s="8" t="n">
        <v>1</v>
      </c>
      <c r="N15" s="14" t="n">
        <f aca="false">M15*D15/الإعدادات!$N$10</f>
        <v>83.3333333333333</v>
      </c>
      <c r="O15" s="14" t="n">
        <f aca="false">SUMIFS(اليومية!$F$5:$F$96,اليومية!$D$5:$D$96,"سلفة",اليومية!$E$5:$E$96,$C15,اليومية!$C$5:$C$96,$B15)+SUMIFS(اليومية!$I$5:$I$96,اليومية!$G$5:$G$96,"سلفة",اليومية!$H$5:$H$96,$C15,اليومية!$C$5:$C$96,$B15)+SUMIFS(اليومية!$L$5:$L$96,اليومية!$J$5:$J$96,"سلفة",اليومية!$K$5:$K$96,$C15,اليومية!$C$5:$C$96,$B15)+SUMIFS(اليومية!$O$5:$O$96,اليومية!$M$5:$M$96,"سلفة",اليومية!$N$5:$N$96,$C15,اليومية!$C$5:$C$96,$B15)</f>
        <v>200</v>
      </c>
      <c r="P15" s="14" t="n">
        <f aca="false">N15+O15</f>
        <v>283.333333333333</v>
      </c>
      <c r="Q15" s="16" t="n">
        <f aca="false">L15-P15</f>
        <v>5575.66666666667</v>
      </c>
    </row>
    <row r="16" customFormat="false" ht="15" hidden="false" customHeight="false" outlineLevel="0" collapsed="false">
      <c r="A16" s="12" t="n">
        <v>2026</v>
      </c>
      <c r="B16" s="12" t="s">
        <v>93</v>
      </c>
      <c r="C16" s="6" t="s">
        <v>38</v>
      </c>
      <c r="D16" s="14" t="n">
        <f aca="false">INDEX(الإعدادات!$D$4:$D$9,MATCH(C16,الإعدادات!$C$4:$C$9,0))</f>
        <v>2200</v>
      </c>
      <c r="E16" s="14" t="n">
        <f aca="false">INDEX(الإعدادات!$E$4:$E$9,MATCH(C16,الإعدادات!$C$4:$C$9,0))</f>
        <v>200</v>
      </c>
      <c r="F16" s="5" t="n">
        <v>15785</v>
      </c>
      <c r="G16" s="14" t="n">
        <f aca="false">MAX(0,F16-الإعدادات!$N$5)*الإعدادات!$N$6</f>
        <v>3835.5</v>
      </c>
      <c r="H16" s="14" t="n">
        <f aca="false">IF(F16&gt;=الإعدادات!$N$7,الإعدادات!$N$8,0)</f>
        <v>300</v>
      </c>
      <c r="I16" s="8" t="n">
        <v>8</v>
      </c>
      <c r="J16" s="14" t="n">
        <f aca="false">I16*الإعدادات!$N$9</f>
        <v>160</v>
      </c>
      <c r="K16" s="5"/>
      <c r="L16" s="13" t="n">
        <f aca="false">D16+E16+G16+H16+J16+K16</f>
        <v>6695.5</v>
      </c>
      <c r="M16" s="8"/>
      <c r="N16" s="14" t="n">
        <f aca="false">M16*D16/الإعدادات!$N$10</f>
        <v>0</v>
      </c>
      <c r="O16" s="14" t="n">
        <f aca="false">SUMIFS(اليومية!$F$5:$F$96,اليومية!$D$5:$D$96,"سلفة",اليومية!$E$5:$E$96,$C16,اليومية!$C$5:$C$96,$B16)+SUMIFS(اليومية!$I$5:$I$96,اليومية!$G$5:$G$96,"سلفة",اليومية!$H$5:$H$96,$C16,اليومية!$C$5:$C$96,$B16)+SUMIFS(اليومية!$L$5:$L$96,اليومية!$J$5:$J$96,"سلفة",اليومية!$K$5:$K$96,$C16,اليومية!$C$5:$C$96,$B16)+SUMIFS(اليومية!$O$5:$O$96,اليومية!$M$5:$M$96,"سلفة",اليومية!$N$5:$N$96,$C16,اليومية!$C$5:$C$96,$B16)</f>
        <v>300</v>
      </c>
      <c r="P16" s="14" t="n">
        <f aca="false">N16+O16</f>
        <v>300</v>
      </c>
      <c r="Q16" s="16" t="n">
        <f aca="false">L16-P16</f>
        <v>6395.5</v>
      </c>
    </row>
    <row r="17" customFormat="false" ht="15" hidden="false" customHeight="false" outlineLevel="0" collapsed="false">
      <c r="A17" s="12" t="n">
        <v>2026</v>
      </c>
      <c r="B17" s="12" t="s">
        <v>94</v>
      </c>
      <c r="C17" s="6" t="s">
        <v>14</v>
      </c>
      <c r="D17" s="14" t="n">
        <f aca="false">INDEX(الإعدادات!$D$4:$D$9,MATCH(C17,الإعدادات!$C$4:$C$9,0))</f>
        <v>3000</v>
      </c>
      <c r="E17" s="14" t="n">
        <f aca="false">INDEX(الإعدادات!$E$4:$E$9,MATCH(C17,الإعدادات!$C$4:$C$9,0))</f>
        <v>300</v>
      </c>
      <c r="F17" s="5" t="n">
        <v>15341</v>
      </c>
      <c r="G17" s="14" t="n">
        <f aca="false">MAX(0,F17-الإعدادات!$N$5)*الإعدادات!$N$6</f>
        <v>3702.3</v>
      </c>
      <c r="H17" s="14" t="n">
        <f aca="false">IF(F17&gt;=الإعدادات!$N$7,الإعدادات!$N$8,0)</f>
        <v>300</v>
      </c>
      <c r="I17" s="8" t="n">
        <v>8</v>
      </c>
      <c r="J17" s="14" t="n">
        <f aca="false">I17*الإعدادات!$N$9</f>
        <v>160</v>
      </c>
      <c r="K17" s="5"/>
      <c r="L17" s="13" t="n">
        <f aca="false">D17+E17+G17+H17+J17+K17</f>
        <v>7462.3</v>
      </c>
      <c r="M17" s="8"/>
      <c r="N17" s="14" t="n">
        <f aca="false">M17*D17/الإعدادات!$N$10</f>
        <v>0</v>
      </c>
      <c r="O17" s="14" t="n">
        <f aca="false">SUMIFS(اليومية!$F$5:$F$96,اليومية!$D$5:$D$96,"سلفة",اليومية!$E$5:$E$96,$C17,اليومية!$C$5:$C$96,$B17)+SUMIFS(اليومية!$I$5:$I$96,اليومية!$G$5:$G$96,"سلفة",اليومية!$H$5:$H$96,$C17,اليومية!$C$5:$C$96,$B17)+SUMIFS(اليومية!$L$5:$L$96,اليومية!$J$5:$J$96,"سلفة",اليومية!$K$5:$K$96,$C17,اليومية!$C$5:$C$96,$B17)+SUMIFS(اليومية!$O$5:$O$96,اليومية!$M$5:$M$96,"سلفة",اليومية!$N$5:$N$96,$C17,اليومية!$C$5:$C$96,$B17)</f>
        <v>150</v>
      </c>
      <c r="P17" s="14" t="n">
        <f aca="false">N17+O17</f>
        <v>150</v>
      </c>
      <c r="Q17" s="16" t="n">
        <f aca="false">L17-P17</f>
        <v>7312.3</v>
      </c>
    </row>
    <row r="18" customFormat="false" ht="15" hidden="false" customHeight="false" outlineLevel="0" collapsed="false">
      <c r="A18" s="12" t="n">
        <v>2026</v>
      </c>
      <c r="B18" s="12" t="s">
        <v>94</v>
      </c>
      <c r="C18" s="6" t="s">
        <v>21</v>
      </c>
      <c r="D18" s="14" t="n">
        <f aca="false">INDEX(الإعدادات!$D$4:$D$9,MATCH(C18,الإعدادات!$C$4:$C$9,0))</f>
        <v>2800</v>
      </c>
      <c r="E18" s="14" t="n">
        <f aca="false">INDEX(الإعدادات!$E$4:$E$9,MATCH(C18,الإعدادات!$C$4:$C$9,0))</f>
        <v>300</v>
      </c>
      <c r="F18" s="5" t="n">
        <v>10812</v>
      </c>
      <c r="G18" s="14" t="n">
        <f aca="false">MAX(0,F18-الإعدادات!$N$5)*الإعدادات!$N$6</f>
        <v>2343.6</v>
      </c>
      <c r="H18" s="14" t="n">
        <f aca="false">IF(F18&gt;=الإعدادات!$N$7,الإعدادات!$N$8,0)</f>
        <v>300</v>
      </c>
      <c r="I18" s="8" t="n">
        <v>4</v>
      </c>
      <c r="J18" s="14" t="n">
        <f aca="false">I18*الإعدادات!$N$9</f>
        <v>80</v>
      </c>
      <c r="K18" s="5"/>
      <c r="L18" s="13" t="n">
        <f aca="false">D18+E18+G18+H18+J18+K18</f>
        <v>5823.6</v>
      </c>
      <c r="M18" s="8" t="n">
        <v>1</v>
      </c>
      <c r="N18" s="14" t="n">
        <f aca="false">M18*D18/الإعدادات!$N$10</f>
        <v>93.3333333333333</v>
      </c>
      <c r="O18" s="14" t="n">
        <f aca="false">SUMIFS(اليومية!$F$5:$F$96,اليومية!$D$5:$D$96,"سلفة",اليومية!$E$5:$E$96,$C18,اليومية!$C$5:$C$96,$B18)+SUMIFS(اليومية!$I$5:$I$96,اليومية!$G$5:$G$96,"سلفة",اليومية!$H$5:$H$96,$C18,اليومية!$C$5:$C$96,$B18)+SUMIFS(اليومية!$L$5:$L$96,اليومية!$J$5:$J$96,"سلفة",اليومية!$K$5:$K$96,$C18,اليومية!$C$5:$C$96,$B18)+SUMIFS(اليومية!$O$5:$O$96,اليومية!$M$5:$M$96,"سلفة",اليومية!$N$5:$N$96,$C18,اليومية!$C$5:$C$96,$B18)</f>
        <v>0</v>
      </c>
      <c r="P18" s="14" t="n">
        <f aca="false">N18+O18</f>
        <v>93.3333333333333</v>
      </c>
      <c r="Q18" s="16" t="n">
        <f aca="false">L18-P18</f>
        <v>5730.26666666667</v>
      </c>
    </row>
    <row r="19" customFormat="false" ht="15" hidden="false" customHeight="false" outlineLevel="0" collapsed="false">
      <c r="A19" s="12" t="n">
        <v>2026</v>
      </c>
      <c r="B19" s="12" t="s">
        <v>94</v>
      </c>
      <c r="C19" s="6" t="s">
        <v>27</v>
      </c>
      <c r="D19" s="14" t="n">
        <f aca="false">INDEX(الإعدادات!$D$4:$D$9,MATCH(C19,الإعدادات!$C$4:$C$9,0))</f>
        <v>2800</v>
      </c>
      <c r="E19" s="14" t="n">
        <f aca="false">INDEX(الإعدادات!$E$4:$E$9,MATCH(C19,الإعدادات!$C$4:$C$9,0))</f>
        <v>300</v>
      </c>
      <c r="F19" s="5" t="n">
        <v>12850</v>
      </c>
      <c r="G19" s="14" t="n">
        <f aca="false">MAX(0,F19-الإعدادات!$N$5)*الإعدادات!$N$6</f>
        <v>2955</v>
      </c>
      <c r="H19" s="14" t="n">
        <f aca="false">IF(F19&gt;=الإعدادات!$N$7,الإعدادات!$N$8,0)</f>
        <v>300</v>
      </c>
      <c r="I19" s="8" t="n">
        <v>10</v>
      </c>
      <c r="J19" s="14" t="n">
        <f aca="false">I19*الإعدادات!$N$9</f>
        <v>200</v>
      </c>
      <c r="K19" s="5"/>
      <c r="L19" s="13" t="n">
        <f aca="false">D19+E19+G19+H19+J19+K19</f>
        <v>6555</v>
      </c>
      <c r="M19" s="8" t="n">
        <v>2</v>
      </c>
      <c r="N19" s="14" t="n">
        <f aca="false">M19*D19/الإعدادات!$N$10</f>
        <v>186.666666666667</v>
      </c>
      <c r="O19" s="14" t="n">
        <f aca="false">SUMIFS(اليومية!$F$5:$F$96,اليومية!$D$5:$D$96,"سلفة",اليومية!$E$5:$E$96,$C19,اليومية!$C$5:$C$96,$B19)+SUMIFS(اليومية!$I$5:$I$96,اليومية!$G$5:$G$96,"سلفة",اليومية!$H$5:$H$96,$C19,اليومية!$C$5:$C$96,$B19)+SUMIFS(اليومية!$L$5:$L$96,اليومية!$J$5:$J$96,"سلفة",اليومية!$K$5:$K$96,$C19,اليومية!$C$5:$C$96,$B19)+SUMIFS(اليومية!$O$5:$O$96,اليومية!$M$5:$M$96,"سلفة",اليومية!$N$5:$N$96,$C19,اليومية!$C$5:$C$96,$B19)</f>
        <v>0</v>
      </c>
      <c r="P19" s="14" t="n">
        <f aca="false">N19+O19</f>
        <v>186.666666666667</v>
      </c>
      <c r="Q19" s="16" t="n">
        <f aca="false">L19-P19</f>
        <v>6368.33333333333</v>
      </c>
    </row>
    <row r="20" customFormat="false" ht="15" hidden="false" customHeight="false" outlineLevel="0" collapsed="false">
      <c r="A20" s="12" t="n">
        <v>2026</v>
      </c>
      <c r="B20" s="12" t="s">
        <v>94</v>
      </c>
      <c r="C20" s="6" t="s">
        <v>31</v>
      </c>
      <c r="D20" s="14" t="n">
        <f aca="false">INDEX(الإعدادات!$D$4:$D$9,MATCH(C20,الإعدادات!$C$4:$C$9,0))</f>
        <v>2500</v>
      </c>
      <c r="E20" s="14" t="n">
        <f aca="false">INDEX(الإعدادات!$E$4:$E$9,MATCH(C20,الإعدادات!$C$4:$C$9,0))</f>
        <v>250</v>
      </c>
      <c r="F20" s="5" t="n">
        <v>13961</v>
      </c>
      <c r="G20" s="14" t="n">
        <f aca="false">MAX(0,F20-الإعدادات!$N$5)*الإعدادات!$N$6</f>
        <v>3288.3</v>
      </c>
      <c r="H20" s="14" t="n">
        <f aca="false">IF(F20&gt;=الإعدادات!$N$7,الإعدادات!$N$8,0)</f>
        <v>300</v>
      </c>
      <c r="I20" s="8" t="n">
        <v>8</v>
      </c>
      <c r="J20" s="14" t="n">
        <f aca="false">I20*الإعدادات!$N$9</f>
        <v>160</v>
      </c>
      <c r="K20" s="5" t="n">
        <v>-100</v>
      </c>
      <c r="L20" s="13" t="n">
        <f aca="false">D20+E20+G20+H20+J20+K20</f>
        <v>6398.3</v>
      </c>
      <c r="M20" s="8"/>
      <c r="N20" s="14" t="n">
        <f aca="false">M20*D20/الإعدادات!$N$10</f>
        <v>0</v>
      </c>
      <c r="O20" s="14" t="n">
        <f aca="false">SUMIFS(اليومية!$F$5:$F$96,اليومية!$D$5:$D$96,"سلفة",اليومية!$E$5:$E$96,$C20,اليومية!$C$5:$C$96,$B20)+SUMIFS(اليومية!$I$5:$I$96,اليومية!$G$5:$G$96,"سلفة",اليومية!$H$5:$H$96,$C20,اليومية!$C$5:$C$96,$B20)+SUMIFS(اليومية!$L$5:$L$96,اليومية!$J$5:$J$96,"سلفة",اليومية!$K$5:$K$96,$C20,اليومية!$C$5:$C$96,$B20)+SUMIFS(اليومية!$O$5:$O$96,اليومية!$M$5:$M$96,"سلفة",اليومية!$N$5:$N$96,$C20,اليومية!$C$5:$C$96,$B20)</f>
        <v>100</v>
      </c>
      <c r="P20" s="14" t="n">
        <f aca="false">N20+O20</f>
        <v>100</v>
      </c>
      <c r="Q20" s="16" t="n">
        <f aca="false">L20-P20</f>
        <v>6298.3</v>
      </c>
    </row>
    <row r="21" customFormat="false" ht="15" hidden="false" customHeight="false" outlineLevel="0" collapsed="false">
      <c r="A21" s="12" t="n">
        <v>2026</v>
      </c>
      <c r="B21" s="12" t="s">
        <v>94</v>
      </c>
      <c r="C21" s="6" t="s">
        <v>34</v>
      </c>
      <c r="D21" s="14" t="n">
        <f aca="false">INDEX(الإعدادات!$D$4:$D$9,MATCH(C21,الإعدادات!$C$4:$C$9,0))</f>
        <v>2500</v>
      </c>
      <c r="E21" s="14" t="n">
        <f aca="false">INDEX(الإعدادات!$E$4:$E$9,MATCH(C21,الإعدادات!$C$4:$C$9,0))</f>
        <v>250</v>
      </c>
      <c r="F21" s="5" t="n">
        <v>16715</v>
      </c>
      <c r="G21" s="14" t="n">
        <f aca="false">MAX(0,F21-الإعدادات!$N$5)*الإعدادات!$N$6</f>
        <v>4114.5</v>
      </c>
      <c r="H21" s="14" t="n">
        <f aca="false">IF(F21&gt;=الإعدادات!$N$7,الإعدادات!$N$8,0)</f>
        <v>300</v>
      </c>
      <c r="I21" s="8"/>
      <c r="J21" s="14" t="n">
        <f aca="false">I21*الإعدادات!$N$9</f>
        <v>0</v>
      </c>
      <c r="K21" s="5"/>
      <c r="L21" s="13" t="n">
        <f aca="false">D21+E21+G21+H21+J21+K21</f>
        <v>7164.5</v>
      </c>
      <c r="M21" s="8" t="n">
        <v>1</v>
      </c>
      <c r="N21" s="14" t="n">
        <f aca="false">M21*D21/الإعدادات!$N$10</f>
        <v>83.3333333333333</v>
      </c>
      <c r="O21" s="14" t="n">
        <f aca="false">SUMIFS(اليومية!$F$5:$F$96,اليومية!$D$5:$D$96,"سلفة",اليومية!$E$5:$E$96,$C21,اليومية!$C$5:$C$96,$B21)+SUMIFS(اليومية!$I$5:$I$96,اليومية!$G$5:$G$96,"سلفة",اليومية!$H$5:$H$96,$C21,اليومية!$C$5:$C$96,$B21)+SUMIFS(اليومية!$L$5:$L$96,اليومية!$J$5:$J$96,"سلفة",اليومية!$K$5:$K$96,$C21,اليومية!$C$5:$C$96,$B21)+SUMIFS(اليومية!$O$5:$O$96,اليومية!$M$5:$M$96,"سلفة",اليومية!$N$5:$N$96,$C21,اليومية!$C$5:$C$96,$B21)</f>
        <v>750</v>
      </c>
      <c r="P21" s="14" t="n">
        <f aca="false">N21+O21</f>
        <v>833.333333333333</v>
      </c>
      <c r="Q21" s="16" t="n">
        <f aca="false">L21-P21</f>
        <v>6331.16666666667</v>
      </c>
    </row>
    <row r="22" customFormat="false" ht="15" hidden="false" customHeight="false" outlineLevel="0" collapsed="false">
      <c r="A22" s="12" t="n">
        <v>2026</v>
      </c>
      <c r="B22" s="12" t="s">
        <v>94</v>
      </c>
      <c r="C22" s="6" t="s">
        <v>38</v>
      </c>
      <c r="D22" s="14" t="n">
        <f aca="false">INDEX(الإعدادات!$D$4:$D$9,MATCH(C22,الإعدادات!$C$4:$C$9,0))</f>
        <v>2200</v>
      </c>
      <c r="E22" s="14" t="n">
        <f aca="false">INDEX(الإعدادات!$E$4:$E$9,MATCH(C22,الإعدادات!$C$4:$C$9,0))</f>
        <v>200</v>
      </c>
      <c r="F22" s="5" t="n">
        <v>14486</v>
      </c>
      <c r="G22" s="14" t="n">
        <f aca="false">MAX(0,F22-الإعدادات!$N$5)*الإعدادات!$N$6</f>
        <v>3445.8</v>
      </c>
      <c r="H22" s="14" t="n">
        <f aca="false">IF(F22&gt;=الإعدادات!$N$7,الإعدادات!$N$8,0)</f>
        <v>300</v>
      </c>
      <c r="I22" s="8" t="n">
        <v>8</v>
      </c>
      <c r="J22" s="14" t="n">
        <f aca="false">I22*الإعدادات!$N$9</f>
        <v>160</v>
      </c>
      <c r="K22" s="5" t="n">
        <v>150</v>
      </c>
      <c r="L22" s="13" t="n">
        <f aca="false">D22+E22+G22+H22+J22+K22</f>
        <v>6455.8</v>
      </c>
      <c r="M22" s="8"/>
      <c r="N22" s="14" t="n">
        <f aca="false">M22*D22/الإعدادات!$N$10</f>
        <v>0</v>
      </c>
      <c r="O22" s="14" t="n">
        <f aca="false">SUMIFS(اليومية!$F$5:$F$96,اليومية!$D$5:$D$96,"سلفة",اليومية!$E$5:$E$96,$C22,اليومية!$C$5:$C$96,$B22)+SUMIFS(اليومية!$I$5:$I$96,اليومية!$G$5:$G$96,"سلفة",اليومية!$H$5:$H$96,$C22,اليومية!$C$5:$C$96,$B22)+SUMIFS(اليومية!$L$5:$L$96,اليومية!$J$5:$J$96,"سلفة",اليومية!$K$5:$K$96,$C22,اليومية!$C$5:$C$96,$B22)+SUMIFS(اليومية!$O$5:$O$96,اليومية!$M$5:$M$96,"سلفة",اليومية!$N$5:$N$96,$C22,اليومية!$C$5:$C$96,$B22)</f>
        <v>850</v>
      </c>
      <c r="P22" s="14" t="n">
        <f aca="false">N22+O22</f>
        <v>850</v>
      </c>
      <c r="Q22" s="16" t="n">
        <f aca="false">L22-P22</f>
        <v>5605.8</v>
      </c>
    </row>
    <row r="23" customFormat="false" ht="15" hidden="false" customHeight="false" outlineLevel="0" collapsed="false">
      <c r="A23" s="15" t="s">
        <v>95</v>
      </c>
      <c r="D23" s="16" t="n">
        <f aca="false">SUM(D5:D22)</f>
        <v>47400</v>
      </c>
      <c r="E23" s="16" t="n">
        <f aca="false">SUM(E5:E22)</f>
        <v>4800</v>
      </c>
      <c r="F23" s="16" t="n">
        <f aca="false">SUM(F5:F22)</f>
        <v>242133</v>
      </c>
      <c r="G23" s="16" t="n">
        <f aca="false">SUM(G5:G22)</f>
        <v>56439.9</v>
      </c>
      <c r="H23" s="16" t="n">
        <f aca="false">SUM(H5:H22)</f>
        <v>5400</v>
      </c>
      <c r="I23" s="16" t="n">
        <f aca="false">SUM(I5:I22)</f>
        <v>100</v>
      </c>
      <c r="J23" s="16" t="n">
        <f aca="false">SUM(J5:J22)</f>
        <v>2000</v>
      </c>
      <c r="K23" s="16" t="n">
        <f aca="false">SUM(K5:K22)</f>
        <v>-100</v>
      </c>
      <c r="L23" s="16" t="n">
        <f aca="false">SUM(L5:L22)</f>
        <v>115939.9</v>
      </c>
      <c r="M23" s="16" t="n">
        <f aca="false">SUM(M5:M22)</f>
        <v>9</v>
      </c>
      <c r="N23" s="16" t="n">
        <f aca="false">SUM(N5:N22)</f>
        <v>770</v>
      </c>
      <c r="O23" s="16" t="n">
        <f aca="false">SUM(O5:O22)</f>
        <v>7000</v>
      </c>
      <c r="P23" s="16" t="n">
        <f aca="false">SUM(P5:P22)</f>
        <v>7770</v>
      </c>
      <c r="Q23" s="16" t="n">
        <f aca="false">SUM(Q5:Q22)</f>
        <v>108169.9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7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7"/>
    <col collapsed="false" customWidth="true" hidden="false" outlineLevel="0" max="13" min="13" style="0" width="15"/>
    <col collapsed="false" customWidth="true" hidden="false" outlineLevel="0" max="14" min="14" style="0" width="8"/>
    <col collapsed="false" customWidth="true" hidden="false" outlineLevel="0" max="15" min="15" style="0" width="12"/>
    <col collapsed="false" customWidth="true" hidden="false" outlineLevel="0" max="16" min="16" style="0" width="6"/>
    <col collapsed="false" customWidth="true" hidden="false" outlineLevel="0" max="17" min="17" style="0" width="9"/>
    <col collapsed="false" customWidth="true" hidden="false" outlineLevel="0" max="19" min="18" style="0" width="10"/>
    <col collapsed="false" customWidth="true" hidden="false" outlineLevel="0" max="20" min="20" style="0" width="12"/>
  </cols>
  <sheetData>
    <row r="1" customFormat="false" ht="30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true" outlineLevel="0" collapsed="false">
      <c r="A2" s="2" t="s">
        <v>114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1.5" hidden="false" customHeight="true" outlineLevel="0" collapsed="false">
      <c r="A4" s="3" t="s">
        <v>58</v>
      </c>
      <c r="B4" s="3" t="s">
        <v>115</v>
      </c>
      <c r="C4" s="3" t="s">
        <v>7</v>
      </c>
      <c r="D4" s="3" t="s">
        <v>116</v>
      </c>
      <c r="E4" s="3" t="s">
        <v>117</v>
      </c>
      <c r="F4" s="3" t="s">
        <v>118</v>
      </c>
      <c r="G4" s="3" t="s">
        <v>119</v>
      </c>
      <c r="H4" s="3" t="s">
        <v>120</v>
      </c>
      <c r="I4" s="3" t="s">
        <v>121</v>
      </c>
      <c r="J4" s="3" t="s">
        <v>122</v>
      </c>
      <c r="K4" s="3" t="s">
        <v>123</v>
      </c>
      <c r="L4" s="3" t="s">
        <v>6</v>
      </c>
      <c r="M4" s="3" t="s">
        <v>8</v>
      </c>
      <c r="N4" s="3" t="s">
        <v>9</v>
      </c>
      <c r="O4" s="3" t="s">
        <v>10</v>
      </c>
      <c r="P4" s="3" t="s">
        <v>59</v>
      </c>
      <c r="Q4" s="3" t="s">
        <v>124</v>
      </c>
      <c r="R4" s="3" t="s">
        <v>125</v>
      </c>
      <c r="S4" s="3" t="s">
        <v>126</v>
      </c>
      <c r="T4" s="3" t="s">
        <v>127</v>
      </c>
    </row>
    <row r="5" customFormat="false" ht="15" hidden="false" customHeight="false" outlineLevel="0" collapsed="false">
      <c r="A5" s="11" t="n">
        <v>46204</v>
      </c>
      <c r="B5" s="4" t="s">
        <v>128</v>
      </c>
      <c r="C5" s="4" t="s">
        <v>35</v>
      </c>
      <c r="D5" s="4" t="s">
        <v>129</v>
      </c>
      <c r="E5" s="4" t="s">
        <v>130</v>
      </c>
      <c r="F5" s="5"/>
      <c r="G5" s="5" t="n">
        <v>11500</v>
      </c>
      <c r="H5" s="4" t="s">
        <v>131</v>
      </c>
      <c r="I5" s="8" t="n">
        <v>1</v>
      </c>
      <c r="J5" s="4"/>
      <c r="K5" s="12" t="s">
        <v>132</v>
      </c>
      <c r="L5" s="12" t="n">
        <f aca="false">IFERROR(INDEX(الإعدادات!$G$4:$G$15,MATCH($C5,الإعدادات!$H$4:$H$15,0)),"غير معرف")</f>
        <v>5200</v>
      </c>
      <c r="M5" s="12" t="str">
        <f aca="false">IFERROR(INDEX(الإعدادات!$I$4:$I$15,MATCH($C5,الإعدادات!$H$4:$H$15,0)),"غير معرف")</f>
        <v>مصاريف الفرع</v>
      </c>
      <c r="N5" s="12" t="str">
        <f aca="false">IFERROR(INDEX(الإعدادات!$J$4:$J$15,MATCH($C5,الإعدادات!$H$4:$H$15,0)),"غير معرف")</f>
        <v>مصروف</v>
      </c>
      <c r="O5" s="12" t="str">
        <f aca="false">IFERROR(INDEX(الإعدادات!$K$4:$K$15,MATCH($C5,الإعدادات!$H$4:$H$15,0)),"غير معرف")</f>
        <v>قائمة الدخل</v>
      </c>
      <c r="P5" s="12" t="n">
        <f aca="false">MONTH(A5)</f>
        <v>7</v>
      </c>
      <c r="Q5" s="12" t="str">
        <f aca="false">YEAR(A5)&amp;"-Q"&amp;ROUNDUP(MONTH(A5)/3,0)</f>
        <v>2026-Q3</v>
      </c>
      <c r="R5" s="14" t="n">
        <f aca="false">IF(AND(I5=1,F5&gt;0),F5*الإعدادات!$N$4/(1+الإعدادات!$N$4),0)</f>
        <v>0</v>
      </c>
      <c r="S5" s="14" t="n">
        <f aca="false">IF(AND(I5=1,G5&gt;0),G5*الإعدادات!$N$4/(1+الإعدادات!$N$4),0)</f>
        <v>1500</v>
      </c>
      <c r="T5" s="13" t="n">
        <f aca="false">F5+G5-R5-S5</f>
        <v>10000</v>
      </c>
    </row>
    <row r="6" customFormat="false" ht="15" hidden="false" customHeight="false" outlineLevel="0" collapsed="false">
      <c r="A6" s="11" t="n">
        <v>46208</v>
      </c>
      <c r="B6" s="4" t="s">
        <v>133</v>
      </c>
      <c r="C6" s="4" t="s">
        <v>39</v>
      </c>
      <c r="D6" s="4" t="s">
        <v>134</v>
      </c>
      <c r="E6" s="4" t="s">
        <v>135</v>
      </c>
      <c r="F6" s="5"/>
      <c r="G6" s="5" t="n">
        <v>1541</v>
      </c>
      <c r="H6" s="4" t="s">
        <v>131</v>
      </c>
      <c r="I6" s="8" t="n">
        <v>1</v>
      </c>
      <c r="J6" s="4"/>
      <c r="K6" s="12" t="s">
        <v>136</v>
      </c>
      <c r="L6" s="12" t="n">
        <f aca="false">IFERROR(INDEX(الإعدادات!$G$4:$G$15,MATCH($C6,الإعدادات!$H$4:$H$15,0)),"غير معرف")</f>
        <v>5210</v>
      </c>
      <c r="M6" s="12" t="str">
        <f aca="false">IFERROR(INDEX(الإعدادات!$I$4:$I$15,MATCH($C6,الإعدادات!$H$4:$H$15,0)),"غير معرف")</f>
        <v>مصاريف الفرع</v>
      </c>
      <c r="N6" s="12" t="str">
        <f aca="false">IFERROR(INDEX(الإعدادات!$J$4:$J$15,MATCH($C6,الإعدادات!$H$4:$H$15,0)),"غير معرف")</f>
        <v>مصروف</v>
      </c>
      <c r="O6" s="12" t="str">
        <f aca="false">IFERROR(INDEX(الإعدادات!$K$4:$K$15,MATCH($C6,الإعدادات!$H$4:$H$15,0)),"غير معرف")</f>
        <v>قائمة الدخل</v>
      </c>
      <c r="P6" s="12" t="n">
        <f aca="false">MONTH(A6)</f>
        <v>7</v>
      </c>
      <c r="Q6" s="12" t="str">
        <f aca="false">YEAR(A6)&amp;"-Q"&amp;ROUNDUP(MONTH(A6)/3,0)</f>
        <v>2026-Q3</v>
      </c>
      <c r="R6" s="14" t="n">
        <f aca="false">IF(AND(I6=1,F6&gt;0),F6*الإعدادات!$N$4/(1+الإعدادات!$N$4),0)</f>
        <v>0</v>
      </c>
      <c r="S6" s="14" t="n">
        <f aca="false">IF(AND(I6=1,G6&gt;0),G6*الإعدادات!$N$4/(1+الإعدادات!$N$4),0)</f>
        <v>201</v>
      </c>
      <c r="T6" s="13" t="n">
        <f aca="false">F6+G6-R6-S6</f>
        <v>1340</v>
      </c>
    </row>
    <row r="7" customFormat="false" ht="15" hidden="false" customHeight="false" outlineLevel="0" collapsed="false">
      <c r="A7" s="11" t="n">
        <v>46213</v>
      </c>
      <c r="B7" s="4" t="s">
        <v>137</v>
      </c>
      <c r="C7" s="4" t="s">
        <v>41</v>
      </c>
      <c r="D7" s="4" t="s">
        <v>138</v>
      </c>
      <c r="E7" s="4" t="s">
        <v>139</v>
      </c>
      <c r="F7" s="5"/>
      <c r="G7" s="5" t="n">
        <v>5684</v>
      </c>
      <c r="H7" s="4" t="s">
        <v>131</v>
      </c>
      <c r="I7" s="8" t="n">
        <v>1</v>
      </c>
      <c r="J7" s="4"/>
      <c r="K7" s="12" t="s">
        <v>136</v>
      </c>
      <c r="L7" s="12" t="n">
        <f aca="false">IFERROR(INDEX(الإعدادات!$G$4:$G$15,MATCH($C7,الإعدادات!$H$4:$H$15,0)),"غير معرف")</f>
        <v>5220</v>
      </c>
      <c r="M7" s="12" t="str">
        <f aca="false">IFERROR(INDEX(الإعدادات!$I$4:$I$15,MATCH($C7,الإعدادات!$H$4:$H$15,0)),"غير معرف")</f>
        <v>مصاريف التشغيل</v>
      </c>
      <c r="N7" s="12" t="str">
        <f aca="false">IFERROR(INDEX(الإعدادات!$J$4:$J$15,MATCH($C7,الإعدادات!$H$4:$H$15,0)),"غير معرف")</f>
        <v>مصروف</v>
      </c>
      <c r="O7" s="12" t="str">
        <f aca="false">IFERROR(INDEX(الإعدادات!$K$4:$K$15,MATCH($C7,الإعدادات!$H$4:$H$15,0)),"غير معرف")</f>
        <v>قائمة الدخل</v>
      </c>
      <c r="P7" s="12" t="n">
        <f aca="false">MONTH(A7)</f>
        <v>7</v>
      </c>
      <c r="Q7" s="12" t="str">
        <f aca="false">YEAR(A7)&amp;"-Q"&amp;ROUNDUP(MONTH(A7)/3,0)</f>
        <v>2026-Q3</v>
      </c>
      <c r="R7" s="14" t="n">
        <f aca="false">IF(AND(I7=1,F7&gt;0),F7*الإعدادات!$N$4/(1+الإعدادات!$N$4),0)</f>
        <v>0</v>
      </c>
      <c r="S7" s="14" t="n">
        <f aca="false">IF(AND(I7=1,G7&gt;0),G7*الإعدادات!$N$4/(1+الإعدادات!$N$4),0)</f>
        <v>741.391304347826</v>
      </c>
      <c r="T7" s="13" t="n">
        <f aca="false">F7+G7-R7-S7</f>
        <v>4942.60869565217</v>
      </c>
    </row>
    <row r="8" customFormat="false" ht="15" hidden="false" customHeight="false" outlineLevel="0" collapsed="false">
      <c r="A8" s="11" t="n">
        <v>46223</v>
      </c>
      <c r="B8" s="4" t="s">
        <v>137</v>
      </c>
      <c r="C8" s="4" t="s">
        <v>41</v>
      </c>
      <c r="D8" s="4" t="s">
        <v>140</v>
      </c>
      <c r="E8" s="4" t="s">
        <v>141</v>
      </c>
      <c r="F8" s="5"/>
      <c r="G8" s="5" t="n">
        <v>4843</v>
      </c>
      <c r="H8" s="4" t="s">
        <v>131</v>
      </c>
      <c r="I8" s="8" t="n">
        <v>1</v>
      </c>
      <c r="J8" s="4"/>
      <c r="K8" s="12" t="s">
        <v>136</v>
      </c>
      <c r="L8" s="12" t="n">
        <f aca="false">IFERROR(INDEX(الإعدادات!$G$4:$G$15,MATCH($C8,الإعدادات!$H$4:$H$15,0)),"غير معرف")</f>
        <v>5220</v>
      </c>
      <c r="M8" s="12" t="str">
        <f aca="false">IFERROR(INDEX(الإعدادات!$I$4:$I$15,MATCH($C8,الإعدادات!$H$4:$H$15,0)),"غير معرف")</f>
        <v>مصاريف التشغيل</v>
      </c>
      <c r="N8" s="12" t="str">
        <f aca="false">IFERROR(INDEX(الإعدادات!$J$4:$J$15,MATCH($C8,الإعدادات!$H$4:$H$15,0)),"غير معرف")</f>
        <v>مصروف</v>
      </c>
      <c r="O8" s="12" t="str">
        <f aca="false">IFERROR(INDEX(الإعدادات!$K$4:$K$15,MATCH($C8,الإعدادات!$H$4:$H$15,0)),"غير معرف")</f>
        <v>قائمة الدخل</v>
      </c>
      <c r="P8" s="12" t="n">
        <f aca="false">MONTH(A8)</f>
        <v>7</v>
      </c>
      <c r="Q8" s="12" t="str">
        <f aca="false">YEAR(A8)&amp;"-Q"&amp;ROUNDUP(MONTH(A8)/3,0)</f>
        <v>2026-Q3</v>
      </c>
      <c r="R8" s="14" t="n">
        <f aca="false">IF(AND(I8=1,F8&gt;0),F8*الإعدادات!$N$4/(1+الإعدادات!$N$4),0)</f>
        <v>0</v>
      </c>
      <c r="S8" s="14" t="n">
        <f aca="false">IF(AND(I8=1,G8&gt;0),G8*الإعدادات!$N$4/(1+الإعدادات!$N$4),0)</f>
        <v>631.695652173913</v>
      </c>
      <c r="T8" s="13" t="n">
        <f aca="false">F8+G8-R8-S8</f>
        <v>4211.30434782609</v>
      </c>
    </row>
    <row r="9" customFormat="false" ht="15" hidden="false" customHeight="false" outlineLevel="0" collapsed="false">
      <c r="A9" s="11" t="n">
        <v>46228</v>
      </c>
      <c r="B9" s="4" t="s">
        <v>142</v>
      </c>
      <c r="C9" s="4" t="s">
        <v>45</v>
      </c>
      <c r="D9" s="4" t="s">
        <v>143</v>
      </c>
      <c r="E9" s="4" t="s">
        <v>144</v>
      </c>
      <c r="F9" s="5"/>
      <c r="G9" s="5" t="n">
        <v>1757</v>
      </c>
      <c r="H9" s="4" t="s">
        <v>131</v>
      </c>
      <c r="I9" s="8" t="n">
        <v>1</v>
      </c>
      <c r="J9" s="4"/>
      <c r="K9" s="12" t="s">
        <v>136</v>
      </c>
      <c r="L9" s="12" t="n">
        <f aca="false">IFERROR(INDEX(الإعدادات!$G$4:$G$15,MATCH($C9,الإعدادات!$H$4:$H$15,0)),"غير معرف")</f>
        <v>5300</v>
      </c>
      <c r="M9" s="12" t="str">
        <f aca="false">IFERROR(INDEX(الإعدادات!$I$4:$I$15,MATCH($C9,الإعدادات!$H$4:$H$15,0)),"غير معرف")</f>
        <v>مصاريف التشغيل</v>
      </c>
      <c r="N9" s="12" t="str">
        <f aca="false">IFERROR(INDEX(الإعدادات!$J$4:$J$15,MATCH($C9,الإعدادات!$H$4:$H$15,0)),"غير معرف")</f>
        <v>مصروف</v>
      </c>
      <c r="O9" s="12" t="str">
        <f aca="false">IFERROR(INDEX(الإعدادات!$K$4:$K$15,MATCH($C9,الإعدادات!$H$4:$H$15,0)),"غير معرف")</f>
        <v>قائمة الدخل</v>
      </c>
      <c r="P9" s="12" t="n">
        <f aca="false">MONTH(A9)</f>
        <v>7</v>
      </c>
      <c r="Q9" s="12" t="str">
        <f aca="false">YEAR(A9)&amp;"-Q"&amp;ROUNDUP(MONTH(A9)/3,0)</f>
        <v>2026-Q3</v>
      </c>
      <c r="R9" s="14" t="n">
        <f aca="false">IF(AND(I9=1,F9&gt;0),F9*الإعدادات!$N$4/(1+الإعدادات!$N$4),0)</f>
        <v>0</v>
      </c>
      <c r="S9" s="14" t="n">
        <f aca="false">IF(AND(I9=1,G9&gt;0),G9*الإعدادات!$N$4/(1+الإعدادات!$N$4),0)</f>
        <v>229.173913043478</v>
      </c>
      <c r="T9" s="13" t="n">
        <f aca="false">F9+G9-R9-S9</f>
        <v>1527.82608695652</v>
      </c>
    </row>
    <row r="10" customFormat="false" ht="15" hidden="false" customHeight="false" outlineLevel="0" collapsed="false">
      <c r="A10" s="11" t="n">
        <v>46231</v>
      </c>
      <c r="B10" s="4" t="s">
        <v>145</v>
      </c>
      <c r="C10" s="4" t="s">
        <v>46</v>
      </c>
      <c r="D10" s="4" t="s">
        <v>146</v>
      </c>
      <c r="E10" s="4"/>
      <c r="F10" s="5"/>
      <c r="G10" s="5" t="n">
        <v>865</v>
      </c>
      <c r="H10" s="4" t="s">
        <v>131</v>
      </c>
      <c r="I10" s="8" t="n">
        <v>1</v>
      </c>
      <c r="J10" s="4"/>
      <c r="K10" s="12" t="s">
        <v>136</v>
      </c>
      <c r="L10" s="12" t="n">
        <f aca="false">IFERROR(INDEX(الإعدادات!$G$4:$G$15,MATCH($C10,الإعدادات!$H$4:$H$15,0)),"غير معرف")</f>
        <v>5400</v>
      </c>
      <c r="M10" s="12" t="str">
        <f aca="false">IFERROR(INDEX(الإعدادات!$I$4:$I$15,MATCH($C10,الإعدادات!$H$4:$H$15,0)),"غير معرف")</f>
        <v>مصاريف التشغيل</v>
      </c>
      <c r="N10" s="12" t="str">
        <f aca="false">IFERROR(INDEX(الإعدادات!$J$4:$J$15,MATCH($C10,الإعدادات!$H$4:$H$15,0)),"غير معرف")</f>
        <v>مصروف</v>
      </c>
      <c r="O10" s="12" t="str">
        <f aca="false">IFERROR(INDEX(الإعدادات!$K$4:$K$15,MATCH($C10,الإعدادات!$H$4:$H$15,0)),"غير معرف")</f>
        <v>قائمة الدخل</v>
      </c>
      <c r="P10" s="12" t="n">
        <f aca="false">MONTH(A10)</f>
        <v>7</v>
      </c>
      <c r="Q10" s="12" t="str">
        <f aca="false">YEAR(A10)&amp;"-Q"&amp;ROUNDUP(MONTH(A10)/3,0)</f>
        <v>2026-Q3</v>
      </c>
      <c r="R10" s="14" t="n">
        <f aca="false">IF(AND(I10=1,F10&gt;0),F10*الإعدادات!$N$4/(1+الإعدادات!$N$4),0)</f>
        <v>0</v>
      </c>
      <c r="S10" s="14" t="n">
        <f aca="false">IF(AND(I10=1,G10&gt;0),G10*الإعدادات!$N$4/(1+الإعدادات!$N$4),0)</f>
        <v>112.826086956522</v>
      </c>
      <c r="T10" s="13" t="n">
        <f aca="false">F10+G10-R10-S10</f>
        <v>752.173913043478</v>
      </c>
    </row>
    <row r="11" customFormat="false" ht="15" hidden="false" customHeight="false" outlineLevel="0" collapsed="false">
      <c r="A11" s="17" t="n">
        <v>46234</v>
      </c>
      <c r="B11" s="18" t="s">
        <v>147</v>
      </c>
      <c r="C11" s="18" t="s">
        <v>15</v>
      </c>
      <c r="D11" s="18"/>
      <c r="E11" s="18"/>
      <c r="F11" s="19" t="n">
        <f aca="false">SUMIFS(اليومية!$V$5:$V$96,اليومية!$C$5:$C$96,"يوليو 2026")</f>
        <v>125981</v>
      </c>
      <c r="G11" s="19"/>
      <c r="H11" s="18" t="s">
        <v>131</v>
      </c>
      <c r="I11" s="20" t="n">
        <v>1</v>
      </c>
      <c r="J11" s="18"/>
      <c r="K11" s="18" t="s">
        <v>148</v>
      </c>
      <c r="L11" s="12" t="n">
        <f aca="false">IFERROR(INDEX(الإعدادات!$G$4:$G$15,MATCH($C11,الإعدادات!$H$4:$H$15,0)),"غير معرف")</f>
        <v>4100</v>
      </c>
      <c r="M11" s="12" t="str">
        <f aca="false">IFERROR(INDEX(الإعدادات!$I$4:$I$15,MATCH($C11,الإعدادات!$H$4:$H$15,0)),"غير معرف")</f>
        <v>الإيرادات</v>
      </c>
      <c r="N11" s="12" t="str">
        <f aca="false">IFERROR(INDEX(الإعدادات!$J$4:$J$15,MATCH($C11,الإعدادات!$H$4:$H$15,0)),"غير معرف")</f>
        <v>إيراد</v>
      </c>
      <c r="O11" s="12" t="str">
        <f aca="false">IFERROR(INDEX(الإعدادات!$K$4:$K$15,MATCH($C11,الإعدادات!$H$4:$H$15,0)),"غير معرف")</f>
        <v>قائمة الدخل</v>
      </c>
      <c r="P11" s="12" t="n">
        <f aca="false">MONTH(A11)</f>
        <v>7</v>
      </c>
      <c r="Q11" s="12" t="str">
        <f aca="false">YEAR(A11)&amp;"-Q"&amp;ROUNDUP(MONTH(A11)/3,0)</f>
        <v>2026-Q3</v>
      </c>
      <c r="R11" s="14" t="n">
        <f aca="false">IF(AND(I11=1,F11&gt;0),F11*الإعدادات!$N$4/(1+الإعدادات!$N$4),0)</f>
        <v>16432.3043478261</v>
      </c>
      <c r="S11" s="14" t="n">
        <f aca="false">IF(AND(I11=1,G11&gt;0),G11*الإعدادات!$N$4/(1+الإعدادات!$N$4),0)</f>
        <v>0</v>
      </c>
      <c r="T11" s="13" t="n">
        <f aca="false">F11+G11-R11-S11</f>
        <v>109548.695652174</v>
      </c>
    </row>
    <row r="12" customFormat="false" ht="15" hidden="false" customHeight="false" outlineLevel="0" collapsed="false">
      <c r="A12" s="17" t="n">
        <v>46234</v>
      </c>
      <c r="B12" s="18" t="s">
        <v>149</v>
      </c>
      <c r="C12" s="18" t="s">
        <v>47</v>
      </c>
      <c r="D12" s="18"/>
      <c r="E12" s="18"/>
      <c r="F12" s="19"/>
      <c r="G12" s="19" t="n">
        <f aca="false">SUMIFS(اليومية!$P$5:$P$96,اليومية!$C$5:$C$96,"يوليو 2026")-SUMIFS(الرواتب!$O$5:$O$22,الرواتب!$B$5:$B$22,"يوليو 2026")</f>
        <v>3363</v>
      </c>
      <c r="H12" s="18" t="s">
        <v>74</v>
      </c>
      <c r="I12" s="20" t="n">
        <v>0</v>
      </c>
      <c r="J12" s="18"/>
      <c r="K12" s="18" t="s">
        <v>148</v>
      </c>
      <c r="L12" s="12" t="n">
        <f aca="false">IFERROR(INDEX(الإعدادات!$G$4:$G$15,MATCH($C12,الإعدادات!$H$4:$H$15,0)),"غير معرف")</f>
        <v>5900</v>
      </c>
      <c r="M12" s="12" t="str">
        <f aca="false">IFERROR(INDEX(الإعدادات!$I$4:$I$15,MATCH($C12,الإعدادات!$H$4:$H$15,0)),"غير معرف")</f>
        <v>مصاريف التشغيل</v>
      </c>
      <c r="N12" s="12" t="str">
        <f aca="false">IFERROR(INDEX(الإعدادات!$J$4:$J$15,MATCH($C12,الإعدادات!$H$4:$H$15,0)),"غير معرف")</f>
        <v>مصروف</v>
      </c>
      <c r="O12" s="12" t="str">
        <f aca="false">IFERROR(INDEX(الإعدادات!$K$4:$K$15,MATCH($C12,الإعدادات!$H$4:$H$15,0)),"غير معرف")</f>
        <v>قائمة الدخل</v>
      </c>
      <c r="P12" s="12" t="n">
        <f aca="false">MONTH(A12)</f>
        <v>7</v>
      </c>
      <c r="Q12" s="12" t="str">
        <f aca="false">YEAR(A12)&amp;"-Q"&amp;ROUNDUP(MONTH(A12)/3,0)</f>
        <v>2026-Q3</v>
      </c>
      <c r="R12" s="14" t="n">
        <f aca="false">IF(AND(I12=1,F12&gt;0),F12*الإعدادات!$N$4/(1+الإعدادات!$N$4),0)</f>
        <v>0</v>
      </c>
      <c r="S12" s="14" t="n">
        <f aca="false">IF(AND(I12=1,G12&gt;0),G12*الإعدادات!$N$4/(1+الإعدادات!$N$4),0)</f>
        <v>0</v>
      </c>
      <c r="T12" s="13" t="n">
        <f aca="false">F12+G12-R12-S12</f>
        <v>3363</v>
      </c>
    </row>
    <row r="13" customFormat="false" ht="15" hidden="false" customHeight="false" outlineLevel="0" collapsed="false">
      <c r="A13" s="17" t="n">
        <v>46234</v>
      </c>
      <c r="B13" s="18" t="s">
        <v>150</v>
      </c>
      <c r="C13" s="18" t="s">
        <v>22</v>
      </c>
      <c r="D13" s="18"/>
      <c r="E13" s="18"/>
      <c r="F13" s="19"/>
      <c r="G13" s="19" t="n">
        <f aca="false">SUMIFS(الرواتب!$D$5:$D$22,الرواتب!$B$5:$B$22,"يوليو 2026")+SUMIFS(الرواتب!$E$5:$E$22,الرواتب!$B$5:$B$22,"يوليو 2026")-SUMIFS(الرواتب!$N$5:$N$22,الرواتب!$B$5:$B$22,"يوليو 2026")</f>
        <v>17160</v>
      </c>
      <c r="H13" s="18" t="s">
        <v>131</v>
      </c>
      <c r="I13" s="20" t="n">
        <v>0</v>
      </c>
      <c r="J13" s="18"/>
      <c r="K13" s="18" t="s">
        <v>151</v>
      </c>
      <c r="L13" s="12" t="n">
        <f aca="false">IFERROR(INDEX(الإعدادات!$G$4:$G$15,MATCH($C13,الإعدادات!$H$4:$H$15,0)),"غير معرف")</f>
        <v>5100</v>
      </c>
      <c r="M13" s="12" t="str">
        <f aca="false">IFERROR(INDEX(الإعدادات!$I$4:$I$15,MATCH($C13,الإعدادات!$H$4:$H$15,0)),"غير معرف")</f>
        <v>مصاريف الموظفين</v>
      </c>
      <c r="N13" s="12" t="str">
        <f aca="false">IFERROR(INDEX(الإعدادات!$J$4:$J$15,MATCH($C13,الإعدادات!$H$4:$H$15,0)),"غير معرف")</f>
        <v>مصروف</v>
      </c>
      <c r="O13" s="12" t="str">
        <f aca="false">IFERROR(INDEX(الإعدادات!$K$4:$K$15,MATCH($C13,الإعدادات!$H$4:$H$15,0)),"غير معرف")</f>
        <v>قائمة الدخل</v>
      </c>
      <c r="P13" s="12" t="n">
        <f aca="false">MONTH(A13)</f>
        <v>7</v>
      </c>
      <c r="Q13" s="12" t="str">
        <f aca="false">YEAR(A13)&amp;"-Q"&amp;ROUNDUP(MONTH(A13)/3,0)</f>
        <v>2026-Q3</v>
      </c>
      <c r="R13" s="14" t="n">
        <f aca="false">IF(AND(I13=1,F13&gt;0),F13*الإعدادات!$N$4/(1+الإعدادات!$N$4),0)</f>
        <v>0</v>
      </c>
      <c r="S13" s="14" t="n">
        <f aca="false">IF(AND(I13=1,G13&gt;0),G13*الإعدادات!$N$4/(1+الإعدادات!$N$4),0)</f>
        <v>0</v>
      </c>
      <c r="T13" s="13" t="n">
        <f aca="false">F13+G13-R13-S13</f>
        <v>17160</v>
      </c>
    </row>
    <row r="14" customFormat="false" ht="15" hidden="false" customHeight="false" outlineLevel="0" collapsed="false">
      <c r="A14" s="17" t="n">
        <v>46234</v>
      </c>
      <c r="B14" s="18" t="s">
        <v>152</v>
      </c>
      <c r="C14" s="18" t="s">
        <v>28</v>
      </c>
      <c r="D14" s="18"/>
      <c r="E14" s="18"/>
      <c r="F14" s="19"/>
      <c r="G14" s="19" t="n">
        <f aca="false">SUMIFS(الرواتب!$G$5:$G$22,الرواتب!$B$5:$B$22,"يوليو 2026")+SUMIFS(الرواتب!$H$5:$H$22,الرواتب!$B$5:$B$22,"يوليو 2026")+SUMIFS(الرواتب!$J$5:$J$22,الرواتب!$B$5:$B$22,"يوليو 2026")+SUMIFS(الرواتب!$K$5:$K$22,الرواتب!$B$5:$B$22,"يوليو 2026")</f>
        <v>20024.4</v>
      </c>
      <c r="H14" s="18" t="s">
        <v>131</v>
      </c>
      <c r="I14" s="20" t="n">
        <v>0</v>
      </c>
      <c r="J14" s="18"/>
      <c r="K14" s="18" t="s">
        <v>151</v>
      </c>
      <c r="L14" s="12" t="n">
        <f aca="false">IFERROR(INDEX(الإعدادات!$G$4:$G$15,MATCH($C14,الإعدادات!$H$4:$H$15,0)),"غير معرف")</f>
        <v>5110</v>
      </c>
      <c r="M14" s="12" t="str">
        <f aca="false">IFERROR(INDEX(الإعدادات!$I$4:$I$15,MATCH($C14,الإعدادات!$H$4:$H$15,0)),"غير معرف")</f>
        <v>مصاريف الموظفين</v>
      </c>
      <c r="N14" s="12" t="str">
        <f aca="false">IFERROR(INDEX(الإعدادات!$J$4:$J$15,MATCH($C14,الإعدادات!$H$4:$H$15,0)),"غير معرف")</f>
        <v>مصروف</v>
      </c>
      <c r="O14" s="12" t="str">
        <f aca="false">IFERROR(INDEX(الإعدادات!$K$4:$K$15,MATCH($C14,الإعدادات!$H$4:$H$15,0)),"غير معرف")</f>
        <v>قائمة الدخل</v>
      </c>
      <c r="P14" s="12" t="n">
        <f aca="false">MONTH(A14)</f>
        <v>7</v>
      </c>
      <c r="Q14" s="12" t="str">
        <f aca="false">YEAR(A14)&amp;"-Q"&amp;ROUNDUP(MONTH(A14)/3,0)</f>
        <v>2026-Q3</v>
      </c>
      <c r="R14" s="14" t="n">
        <f aca="false">IF(AND(I14=1,F14&gt;0),F14*الإعدادات!$N$4/(1+الإعدادات!$N$4),0)</f>
        <v>0</v>
      </c>
      <c r="S14" s="14" t="n">
        <f aca="false">IF(AND(I14=1,G14&gt;0),G14*الإعدادات!$N$4/(1+الإعدادات!$N$4),0)</f>
        <v>0</v>
      </c>
      <c r="T14" s="13" t="n">
        <f aca="false">F14+G14-R14-S14</f>
        <v>20024.4</v>
      </c>
    </row>
    <row r="15" customFormat="false" ht="15" hidden="false" customHeight="false" outlineLevel="0" collapsed="false">
      <c r="A15" s="11" t="n">
        <v>46235</v>
      </c>
      <c r="B15" s="4" t="s">
        <v>128</v>
      </c>
      <c r="C15" s="4" t="s">
        <v>35</v>
      </c>
      <c r="D15" s="4" t="s">
        <v>129</v>
      </c>
      <c r="E15" s="4" t="s">
        <v>130</v>
      </c>
      <c r="F15" s="5"/>
      <c r="G15" s="5" t="n">
        <v>11500</v>
      </c>
      <c r="H15" s="4" t="s">
        <v>131</v>
      </c>
      <c r="I15" s="8" t="n">
        <v>1</v>
      </c>
      <c r="J15" s="4"/>
      <c r="K15" s="12" t="s">
        <v>132</v>
      </c>
      <c r="L15" s="12" t="n">
        <f aca="false">IFERROR(INDEX(الإعدادات!$G$4:$G$15,MATCH($C15,الإعدادات!$H$4:$H$15,0)),"غير معرف")</f>
        <v>5200</v>
      </c>
      <c r="M15" s="12" t="str">
        <f aca="false">IFERROR(INDEX(الإعدادات!$I$4:$I$15,MATCH($C15,الإعدادات!$H$4:$H$15,0)),"غير معرف")</f>
        <v>مصاريف الفرع</v>
      </c>
      <c r="N15" s="12" t="str">
        <f aca="false">IFERROR(INDEX(الإعدادات!$J$4:$J$15,MATCH($C15,الإعدادات!$H$4:$H$15,0)),"غير معرف")</f>
        <v>مصروف</v>
      </c>
      <c r="O15" s="12" t="str">
        <f aca="false">IFERROR(INDEX(الإعدادات!$K$4:$K$15,MATCH($C15,الإعدادات!$H$4:$H$15,0)),"غير معرف")</f>
        <v>قائمة الدخل</v>
      </c>
      <c r="P15" s="12" t="n">
        <f aca="false">MONTH(A15)</f>
        <v>8</v>
      </c>
      <c r="Q15" s="12" t="str">
        <f aca="false">YEAR(A15)&amp;"-Q"&amp;ROUNDUP(MONTH(A15)/3,0)</f>
        <v>2026-Q3</v>
      </c>
      <c r="R15" s="14" t="n">
        <f aca="false">IF(AND(I15=1,F15&gt;0),F15*الإعدادات!$N$4/(1+الإعدادات!$N$4),0)</f>
        <v>0</v>
      </c>
      <c r="S15" s="14" t="n">
        <f aca="false">IF(AND(I15=1,G15&gt;0),G15*الإعدادات!$N$4/(1+الإعدادات!$N$4),0)</f>
        <v>1500</v>
      </c>
      <c r="T15" s="13" t="n">
        <f aca="false">F15+G15-R15-S15</f>
        <v>10000</v>
      </c>
    </row>
    <row r="16" customFormat="false" ht="15" hidden="false" customHeight="false" outlineLevel="0" collapsed="false">
      <c r="A16" s="11" t="n">
        <v>46239</v>
      </c>
      <c r="B16" s="4" t="s">
        <v>133</v>
      </c>
      <c r="C16" s="4" t="s">
        <v>39</v>
      </c>
      <c r="D16" s="4" t="s">
        <v>134</v>
      </c>
      <c r="E16" s="4" t="s">
        <v>135</v>
      </c>
      <c r="F16" s="5"/>
      <c r="G16" s="5" t="n">
        <v>1845</v>
      </c>
      <c r="H16" s="4" t="s">
        <v>131</v>
      </c>
      <c r="I16" s="8" t="n">
        <v>1</v>
      </c>
      <c r="J16" s="4"/>
      <c r="K16" s="12" t="s">
        <v>136</v>
      </c>
      <c r="L16" s="12" t="n">
        <f aca="false">IFERROR(INDEX(الإعدادات!$G$4:$G$15,MATCH($C16,الإعدادات!$H$4:$H$15,0)),"غير معرف")</f>
        <v>5210</v>
      </c>
      <c r="M16" s="12" t="str">
        <f aca="false">IFERROR(INDEX(الإعدادات!$I$4:$I$15,MATCH($C16,الإعدادات!$H$4:$H$15,0)),"غير معرف")</f>
        <v>مصاريف الفرع</v>
      </c>
      <c r="N16" s="12" t="str">
        <f aca="false">IFERROR(INDEX(الإعدادات!$J$4:$J$15,MATCH($C16,الإعدادات!$H$4:$H$15,0)),"غير معرف")</f>
        <v>مصروف</v>
      </c>
      <c r="O16" s="12" t="str">
        <f aca="false">IFERROR(INDEX(الإعدادات!$K$4:$K$15,MATCH($C16,الإعدادات!$H$4:$H$15,0)),"غير معرف")</f>
        <v>قائمة الدخل</v>
      </c>
      <c r="P16" s="12" t="n">
        <f aca="false">MONTH(A16)</f>
        <v>8</v>
      </c>
      <c r="Q16" s="12" t="str">
        <f aca="false">YEAR(A16)&amp;"-Q"&amp;ROUNDUP(MONTH(A16)/3,0)</f>
        <v>2026-Q3</v>
      </c>
      <c r="R16" s="14" t="n">
        <f aca="false">IF(AND(I16=1,F16&gt;0),F16*الإعدادات!$N$4/(1+الإعدادات!$N$4),0)</f>
        <v>0</v>
      </c>
      <c r="S16" s="14" t="n">
        <f aca="false">IF(AND(I16=1,G16&gt;0),G16*الإعدادات!$N$4/(1+الإعدادات!$N$4),0)</f>
        <v>240.652173913044</v>
      </c>
      <c r="T16" s="13" t="n">
        <f aca="false">F16+G16-R16-S16</f>
        <v>1604.34782608696</v>
      </c>
    </row>
    <row r="17" customFormat="false" ht="15" hidden="false" customHeight="false" outlineLevel="0" collapsed="false">
      <c r="A17" s="11" t="n">
        <v>46243</v>
      </c>
      <c r="B17" s="4" t="s">
        <v>137</v>
      </c>
      <c r="C17" s="4" t="s">
        <v>41</v>
      </c>
      <c r="D17" s="4" t="s">
        <v>140</v>
      </c>
      <c r="E17" s="4" t="s">
        <v>141</v>
      </c>
      <c r="F17" s="5"/>
      <c r="G17" s="5" t="n">
        <v>5633</v>
      </c>
      <c r="H17" s="4" t="s">
        <v>131</v>
      </c>
      <c r="I17" s="8" t="n">
        <v>1</v>
      </c>
      <c r="J17" s="4"/>
      <c r="K17" s="12" t="s">
        <v>136</v>
      </c>
      <c r="L17" s="12" t="n">
        <f aca="false">IFERROR(INDEX(الإعدادات!$G$4:$G$15,MATCH($C17,الإعدادات!$H$4:$H$15,0)),"غير معرف")</f>
        <v>5220</v>
      </c>
      <c r="M17" s="12" t="str">
        <f aca="false">IFERROR(INDEX(الإعدادات!$I$4:$I$15,MATCH($C17,الإعدادات!$H$4:$H$15,0)),"غير معرف")</f>
        <v>مصاريف التشغيل</v>
      </c>
      <c r="N17" s="12" t="str">
        <f aca="false">IFERROR(INDEX(الإعدادات!$J$4:$J$15,MATCH($C17,الإعدادات!$H$4:$H$15,0)),"غير معرف")</f>
        <v>مصروف</v>
      </c>
      <c r="O17" s="12" t="str">
        <f aca="false">IFERROR(INDEX(الإعدادات!$K$4:$K$15,MATCH($C17,الإعدادات!$H$4:$H$15,0)),"غير معرف")</f>
        <v>قائمة الدخل</v>
      </c>
      <c r="P17" s="12" t="n">
        <f aca="false">MONTH(A17)</f>
        <v>8</v>
      </c>
      <c r="Q17" s="12" t="str">
        <f aca="false">YEAR(A17)&amp;"-Q"&amp;ROUNDUP(MONTH(A17)/3,0)</f>
        <v>2026-Q3</v>
      </c>
      <c r="R17" s="14" t="n">
        <f aca="false">IF(AND(I17=1,F17&gt;0),F17*الإعدادات!$N$4/(1+الإعدادات!$N$4),0)</f>
        <v>0</v>
      </c>
      <c r="S17" s="14" t="n">
        <f aca="false">IF(AND(I17=1,G17&gt;0),G17*الإعدادات!$N$4/(1+الإعدادات!$N$4),0)</f>
        <v>734.739130434783</v>
      </c>
      <c r="T17" s="13" t="n">
        <f aca="false">F17+G17-R17-S17</f>
        <v>4898.26086956522</v>
      </c>
    </row>
    <row r="18" customFormat="false" ht="15" hidden="false" customHeight="false" outlineLevel="0" collapsed="false">
      <c r="A18" s="11" t="n">
        <v>46246</v>
      </c>
      <c r="B18" s="4" t="s">
        <v>153</v>
      </c>
      <c r="C18" s="4" t="s">
        <v>44</v>
      </c>
      <c r="D18" s="4" t="s">
        <v>154</v>
      </c>
      <c r="E18" s="4"/>
      <c r="F18" s="5"/>
      <c r="G18" s="5" t="n">
        <v>950</v>
      </c>
      <c r="H18" s="4" t="s">
        <v>74</v>
      </c>
      <c r="I18" s="8" t="n">
        <v>0</v>
      </c>
      <c r="J18" s="4"/>
      <c r="K18" s="12" t="s">
        <v>136</v>
      </c>
      <c r="L18" s="12" t="n">
        <f aca="false">IFERROR(INDEX(الإعدادات!$G$4:$G$15,MATCH($C18,الإعدادات!$H$4:$H$15,0)),"غير معرف")</f>
        <v>5230</v>
      </c>
      <c r="M18" s="12" t="str">
        <f aca="false">IFERROR(INDEX(الإعدادات!$I$4:$I$15,MATCH($C18,الإعدادات!$H$4:$H$15,0)),"غير معرف")</f>
        <v>مصاريف الفرع</v>
      </c>
      <c r="N18" s="12" t="str">
        <f aca="false">IFERROR(INDEX(الإعدادات!$J$4:$J$15,MATCH($C18,الإعدادات!$H$4:$H$15,0)),"غير معرف")</f>
        <v>مصروف</v>
      </c>
      <c r="O18" s="12" t="str">
        <f aca="false">IFERROR(INDEX(الإعدادات!$K$4:$K$15,MATCH($C18,الإعدادات!$H$4:$H$15,0)),"غير معرف")</f>
        <v>قائمة الدخل</v>
      </c>
      <c r="P18" s="12" t="n">
        <f aca="false">MONTH(A18)</f>
        <v>8</v>
      </c>
      <c r="Q18" s="12" t="str">
        <f aca="false">YEAR(A18)&amp;"-Q"&amp;ROUNDUP(MONTH(A18)/3,0)</f>
        <v>2026-Q3</v>
      </c>
      <c r="R18" s="14" t="n">
        <f aca="false">IF(AND(I18=1,F18&gt;0),F18*الإعدادات!$N$4/(1+الإعدادات!$N$4),0)</f>
        <v>0</v>
      </c>
      <c r="S18" s="14" t="n">
        <f aca="false">IF(AND(I18=1,G18&gt;0),G18*الإعدادات!$N$4/(1+الإعدادات!$N$4),0)</f>
        <v>0</v>
      </c>
      <c r="T18" s="13" t="n">
        <f aca="false">F18+G18-R18-S18</f>
        <v>950</v>
      </c>
    </row>
    <row r="19" customFormat="false" ht="15" hidden="false" customHeight="false" outlineLevel="0" collapsed="false">
      <c r="A19" s="11" t="n">
        <v>46252</v>
      </c>
      <c r="B19" s="4" t="s">
        <v>155</v>
      </c>
      <c r="C19" s="4" t="s">
        <v>32</v>
      </c>
      <c r="D19" s="4" t="s">
        <v>156</v>
      </c>
      <c r="E19" s="4"/>
      <c r="F19" s="5"/>
      <c r="G19" s="5" t="n">
        <v>2880</v>
      </c>
      <c r="H19" s="4" t="s">
        <v>131</v>
      </c>
      <c r="I19" s="8" t="n">
        <v>0</v>
      </c>
      <c r="J19" s="4"/>
      <c r="K19" s="12" t="s">
        <v>136</v>
      </c>
      <c r="L19" s="12" t="n">
        <f aca="false">IFERROR(INDEX(الإعدادات!$G$4:$G$15,MATCH($C19,الإعدادات!$H$4:$H$15,0)),"غير معرف")</f>
        <v>5120</v>
      </c>
      <c r="M19" s="12" t="str">
        <f aca="false">IFERROR(INDEX(الإعدادات!$I$4:$I$15,MATCH($C19,الإعدادات!$H$4:$H$15,0)),"غير معرف")</f>
        <v>مصاريف الموظفين</v>
      </c>
      <c r="N19" s="12" t="str">
        <f aca="false">IFERROR(INDEX(الإعدادات!$J$4:$J$15,MATCH($C19,الإعدادات!$H$4:$H$15,0)),"غير معرف")</f>
        <v>مصروف</v>
      </c>
      <c r="O19" s="12" t="str">
        <f aca="false">IFERROR(INDEX(الإعدادات!$K$4:$K$15,MATCH($C19,الإعدادات!$H$4:$H$15,0)),"غير معرف")</f>
        <v>قائمة الدخل</v>
      </c>
      <c r="P19" s="12" t="n">
        <f aca="false">MONTH(A19)</f>
        <v>8</v>
      </c>
      <c r="Q19" s="12" t="str">
        <f aca="false">YEAR(A19)&amp;"-Q"&amp;ROUNDUP(MONTH(A19)/3,0)</f>
        <v>2026-Q3</v>
      </c>
      <c r="R19" s="14" t="n">
        <f aca="false">IF(AND(I19=1,F19&gt;0),F19*الإعدادات!$N$4/(1+الإعدادات!$N$4),0)</f>
        <v>0</v>
      </c>
      <c r="S19" s="14" t="n">
        <f aca="false">IF(AND(I19=1,G19&gt;0),G19*الإعدادات!$N$4/(1+الإعدادات!$N$4),0)</f>
        <v>0</v>
      </c>
      <c r="T19" s="13" t="n">
        <f aca="false">F19+G19-R19-S19</f>
        <v>2880</v>
      </c>
    </row>
    <row r="20" customFormat="false" ht="15" hidden="false" customHeight="false" outlineLevel="0" collapsed="false">
      <c r="A20" s="11" t="n">
        <v>46254</v>
      </c>
      <c r="B20" s="4" t="s">
        <v>137</v>
      </c>
      <c r="C20" s="4" t="s">
        <v>41</v>
      </c>
      <c r="D20" s="4" t="s">
        <v>138</v>
      </c>
      <c r="E20" s="4" t="s">
        <v>139</v>
      </c>
      <c r="F20" s="5"/>
      <c r="G20" s="5" t="n">
        <v>5226</v>
      </c>
      <c r="H20" s="4" t="s">
        <v>131</v>
      </c>
      <c r="I20" s="8" t="n">
        <v>1</v>
      </c>
      <c r="J20" s="4"/>
      <c r="K20" s="12" t="s">
        <v>136</v>
      </c>
      <c r="L20" s="12" t="n">
        <f aca="false">IFERROR(INDEX(الإعدادات!$G$4:$G$15,MATCH($C20,الإعدادات!$H$4:$H$15,0)),"غير معرف")</f>
        <v>5220</v>
      </c>
      <c r="M20" s="12" t="str">
        <f aca="false">IFERROR(INDEX(الإعدادات!$I$4:$I$15,MATCH($C20,الإعدادات!$H$4:$H$15,0)),"غير معرف")</f>
        <v>مصاريف التشغيل</v>
      </c>
      <c r="N20" s="12" t="str">
        <f aca="false">IFERROR(INDEX(الإعدادات!$J$4:$J$15,MATCH($C20,الإعدادات!$H$4:$H$15,0)),"غير معرف")</f>
        <v>مصروف</v>
      </c>
      <c r="O20" s="12" t="str">
        <f aca="false">IFERROR(INDEX(الإعدادات!$K$4:$K$15,MATCH($C20,الإعدادات!$H$4:$H$15,0)),"غير معرف")</f>
        <v>قائمة الدخل</v>
      </c>
      <c r="P20" s="12" t="n">
        <f aca="false">MONTH(A20)</f>
        <v>8</v>
      </c>
      <c r="Q20" s="12" t="str">
        <f aca="false">YEAR(A20)&amp;"-Q"&amp;ROUNDUP(MONTH(A20)/3,0)</f>
        <v>2026-Q3</v>
      </c>
      <c r="R20" s="14" t="n">
        <f aca="false">IF(AND(I20=1,F20&gt;0),F20*الإعدادات!$N$4/(1+الإعدادات!$N$4),0)</f>
        <v>0</v>
      </c>
      <c r="S20" s="14" t="n">
        <f aca="false">IF(AND(I20=1,G20&gt;0),G20*الإعدادات!$N$4/(1+الإعدادات!$N$4),0)</f>
        <v>681.652173913044</v>
      </c>
      <c r="T20" s="13" t="n">
        <f aca="false">F20+G20-R20-S20</f>
        <v>4544.34782608696</v>
      </c>
    </row>
    <row r="21" customFormat="false" ht="15" hidden="false" customHeight="false" outlineLevel="0" collapsed="false">
      <c r="A21" s="11" t="n">
        <v>46259</v>
      </c>
      <c r="B21" s="4" t="s">
        <v>142</v>
      </c>
      <c r="C21" s="4" t="s">
        <v>45</v>
      </c>
      <c r="D21" s="4" t="s">
        <v>143</v>
      </c>
      <c r="E21" s="4" t="s">
        <v>144</v>
      </c>
      <c r="F21" s="5"/>
      <c r="G21" s="5" t="n">
        <v>1639</v>
      </c>
      <c r="H21" s="4" t="s">
        <v>131</v>
      </c>
      <c r="I21" s="8" t="n">
        <v>1</v>
      </c>
      <c r="J21" s="4"/>
      <c r="K21" s="12" t="s">
        <v>136</v>
      </c>
      <c r="L21" s="12" t="n">
        <f aca="false">IFERROR(INDEX(الإعدادات!$G$4:$G$15,MATCH($C21,الإعدادات!$H$4:$H$15,0)),"غير معرف")</f>
        <v>5300</v>
      </c>
      <c r="M21" s="12" t="str">
        <f aca="false">IFERROR(INDEX(الإعدادات!$I$4:$I$15,MATCH($C21,الإعدادات!$H$4:$H$15,0)),"غير معرف")</f>
        <v>مصاريف التشغيل</v>
      </c>
      <c r="N21" s="12" t="str">
        <f aca="false">IFERROR(INDEX(الإعدادات!$J$4:$J$15,MATCH($C21,الإعدادات!$H$4:$H$15,0)),"غير معرف")</f>
        <v>مصروف</v>
      </c>
      <c r="O21" s="12" t="str">
        <f aca="false">IFERROR(INDEX(الإعدادات!$K$4:$K$15,MATCH($C21,الإعدادات!$H$4:$H$15,0)),"غير معرف")</f>
        <v>قائمة الدخل</v>
      </c>
      <c r="P21" s="12" t="n">
        <f aca="false">MONTH(A21)</f>
        <v>8</v>
      </c>
      <c r="Q21" s="12" t="str">
        <f aca="false">YEAR(A21)&amp;"-Q"&amp;ROUNDUP(MONTH(A21)/3,0)</f>
        <v>2026-Q3</v>
      </c>
      <c r="R21" s="14" t="n">
        <f aca="false">IF(AND(I21=1,F21&gt;0),F21*الإعدادات!$N$4/(1+الإعدادات!$N$4),0)</f>
        <v>0</v>
      </c>
      <c r="S21" s="14" t="n">
        <f aca="false">IF(AND(I21=1,G21&gt;0),G21*الإعدادات!$N$4/(1+الإعدادات!$N$4),0)</f>
        <v>213.782608695652</v>
      </c>
      <c r="T21" s="13" t="n">
        <f aca="false">F21+G21-R21-S21</f>
        <v>1425.21739130435</v>
      </c>
    </row>
    <row r="22" customFormat="false" ht="15" hidden="false" customHeight="false" outlineLevel="0" collapsed="false">
      <c r="A22" s="11" t="n">
        <v>46262</v>
      </c>
      <c r="B22" s="4" t="s">
        <v>145</v>
      </c>
      <c r="C22" s="4" t="s">
        <v>46</v>
      </c>
      <c r="D22" s="4" t="s">
        <v>146</v>
      </c>
      <c r="E22" s="4"/>
      <c r="F22" s="5"/>
      <c r="G22" s="5" t="n">
        <v>833</v>
      </c>
      <c r="H22" s="4" t="s">
        <v>131</v>
      </c>
      <c r="I22" s="8" t="n">
        <v>1</v>
      </c>
      <c r="J22" s="4"/>
      <c r="K22" s="12" t="s">
        <v>136</v>
      </c>
      <c r="L22" s="12" t="n">
        <f aca="false">IFERROR(INDEX(الإعدادات!$G$4:$G$15,MATCH($C22,الإعدادات!$H$4:$H$15,0)),"غير معرف")</f>
        <v>5400</v>
      </c>
      <c r="M22" s="12" t="str">
        <f aca="false">IFERROR(INDEX(الإعدادات!$I$4:$I$15,MATCH($C22,الإعدادات!$H$4:$H$15,0)),"غير معرف")</f>
        <v>مصاريف التشغيل</v>
      </c>
      <c r="N22" s="12" t="str">
        <f aca="false">IFERROR(INDEX(الإعدادات!$J$4:$J$15,MATCH($C22,الإعدادات!$H$4:$H$15,0)),"غير معرف")</f>
        <v>مصروف</v>
      </c>
      <c r="O22" s="12" t="str">
        <f aca="false">IFERROR(INDEX(الإعدادات!$K$4:$K$15,MATCH($C22,الإعدادات!$H$4:$H$15,0)),"غير معرف")</f>
        <v>قائمة الدخل</v>
      </c>
      <c r="P22" s="12" t="n">
        <f aca="false">MONTH(A22)</f>
        <v>8</v>
      </c>
      <c r="Q22" s="12" t="str">
        <f aca="false">YEAR(A22)&amp;"-Q"&amp;ROUNDUP(MONTH(A22)/3,0)</f>
        <v>2026-Q3</v>
      </c>
      <c r="R22" s="14" t="n">
        <f aca="false">IF(AND(I22=1,F22&gt;0),F22*الإعدادات!$N$4/(1+الإعدادات!$N$4),0)</f>
        <v>0</v>
      </c>
      <c r="S22" s="14" t="n">
        <f aca="false">IF(AND(I22=1,G22&gt;0),G22*الإعدادات!$N$4/(1+الإعدادات!$N$4),0)</f>
        <v>108.652173913043</v>
      </c>
      <c r="T22" s="13" t="n">
        <f aca="false">F22+G22-R22-S22</f>
        <v>724.347826086957</v>
      </c>
    </row>
    <row r="23" customFormat="false" ht="15" hidden="false" customHeight="false" outlineLevel="0" collapsed="false">
      <c r="A23" s="17" t="n">
        <v>46265</v>
      </c>
      <c r="B23" s="18" t="s">
        <v>157</v>
      </c>
      <c r="C23" s="18" t="s">
        <v>15</v>
      </c>
      <c r="D23" s="18"/>
      <c r="E23" s="18"/>
      <c r="F23" s="19" t="n">
        <f aca="false">SUMIFS(اليومية!$V$5:$V$96,اليومية!$C$5:$C$96,"أغسطس 2026")</f>
        <v>127398</v>
      </c>
      <c r="G23" s="19"/>
      <c r="H23" s="18" t="s">
        <v>131</v>
      </c>
      <c r="I23" s="20" t="n">
        <v>1</v>
      </c>
      <c r="J23" s="18"/>
      <c r="K23" s="18" t="s">
        <v>148</v>
      </c>
      <c r="L23" s="12" t="n">
        <f aca="false">IFERROR(INDEX(الإعدادات!$G$4:$G$15,MATCH($C23,الإعدادات!$H$4:$H$15,0)),"غير معرف")</f>
        <v>4100</v>
      </c>
      <c r="M23" s="12" t="str">
        <f aca="false">IFERROR(INDEX(الإعدادات!$I$4:$I$15,MATCH($C23,الإعدادات!$H$4:$H$15,0)),"غير معرف")</f>
        <v>الإيرادات</v>
      </c>
      <c r="N23" s="12" t="str">
        <f aca="false">IFERROR(INDEX(الإعدادات!$J$4:$J$15,MATCH($C23,الإعدادات!$H$4:$H$15,0)),"غير معرف")</f>
        <v>إيراد</v>
      </c>
      <c r="O23" s="12" t="str">
        <f aca="false">IFERROR(INDEX(الإعدادات!$K$4:$K$15,MATCH($C23,الإعدادات!$H$4:$H$15,0)),"غير معرف")</f>
        <v>قائمة الدخل</v>
      </c>
      <c r="P23" s="12" t="n">
        <f aca="false">MONTH(A23)</f>
        <v>8</v>
      </c>
      <c r="Q23" s="12" t="str">
        <f aca="false">YEAR(A23)&amp;"-Q"&amp;ROUNDUP(MONTH(A23)/3,0)</f>
        <v>2026-Q3</v>
      </c>
      <c r="R23" s="14" t="n">
        <f aca="false">IF(AND(I23=1,F23&gt;0),F23*الإعدادات!$N$4/(1+الإعدادات!$N$4),0)</f>
        <v>16617.1304347826</v>
      </c>
      <c r="S23" s="14" t="n">
        <f aca="false">IF(AND(I23=1,G23&gt;0),G23*الإعدادات!$N$4/(1+الإعدادات!$N$4),0)</f>
        <v>0</v>
      </c>
      <c r="T23" s="13" t="n">
        <f aca="false">F23+G23-R23-S23</f>
        <v>110780.869565217</v>
      </c>
    </row>
    <row r="24" customFormat="false" ht="15" hidden="false" customHeight="false" outlineLevel="0" collapsed="false">
      <c r="A24" s="17" t="n">
        <v>46265</v>
      </c>
      <c r="B24" s="18" t="s">
        <v>158</v>
      </c>
      <c r="C24" s="18" t="s">
        <v>47</v>
      </c>
      <c r="D24" s="18"/>
      <c r="E24" s="18"/>
      <c r="F24" s="19"/>
      <c r="G24" s="19" t="n">
        <f aca="false">SUMIFS(اليومية!$P$5:$P$96,اليومية!$C$5:$C$96,"أغسطس 2026")-SUMIFS(الرواتب!$O$5:$O$22,الرواتب!$B$5:$B$22,"أغسطس 2026")</f>
        <v>2631</v>
      </c>
      <c r="H24" s="18" t="s">
        <v>74</v>
      </c>
      <c r="I24" s="20" t="n">
        <v>0</v>
      </c>
      <c r="J24" s="18"/>
      <c r="K24" s="18" t="s">
        <v>148</v>
      </c>
      <c r="L24" s="12" t="n">
        <f aca="false">IFERROR(INDEX(الإعدادات!$G$4:$G$15,MATCH($C24,الإعدادات!$H$4:$H$15,0)),"غير معرف")</f>
        <v>5900</v>
      </c>
      <c r="M24" s="12" t="str">
        <f aca="false">IFERROR(INDEX(الإعدادات!$I$4:$I$15,MATCH($C24,الإعدادات!$H$4:$H$15,0)),"غير معرف")</f>
        <v>مصاريف التشغيل</v>
      </c>
      <c r="N24" s="12" t="str">
        <f aca="false">IFERROR(INDEX(الإعدادات!$J$4:$J$15,MATCH($C24,الإعدادات!$H$4:$H$15,0)),"غير معرف")</f>
        <v>مصروف</v>
      </c>
      <c r="O24" s="12" t="str">
        <f aca="false">IFERROR(INDEX(الإعدادات!$K$4:$K$15,MATCH($C24,الإعدادات!$H$4:$H$15,0)),"غير معرف")</f>
        <v>قائمة الدخل</v>
      </c>
      <c r="P24" s="12" t="n">
        <f aca="false">MONTH(A24)</f>
        <v>8</v>
      </c>
      <c r="Q24" s="12" t="str">
        <f aca="false">YEAR(A24)&amp;"-Q"&amp;ROUNDUP(MONTH(A24)/3,0)</f>
        <v>2026-Q3</v>
      </c>
      <c r="R24" s="14" t="n">
        <f aca="false">IF(AND(I24=1,F24&gt;0),F24*الإعدادات!$N$4/(1+الإعدادات!$N$4),0)</f>
        <v>0</v>
      </c>
      <c r="S24" s="14" t="n">
        <f aca="false">IF(AND(I24=1,G24&gt;0),G24*الإعدادات!$N$4/(1+الإعدادات!$N$4),0)</f>
        <v>0</v>
      </c>
      <c r="T24" s="13" t="n">
        <f aca="false">F24+G24-R24-S24</f>
        <v>2631</v>
      </c>
    </row>
    <row r="25" customFormat="false" ht="15" hidden="false" customHeight="false" outlineLevel="0" collapsed="false">
      <c r="A25" s="17" t="n">
        <v>46265</v>
      </c>
      <c r="B25" s="18" t="s">
        <v>159</v>
      </c>
      <c r="C25" s="18" t="s">
        <v>22</v>
      </c>
      <c r="D25" s="18"/>
      <c r="E25" s="18"/>
      <c r="F25" s="19"/>
      <c r="G25" s="19" t="n">
        <f aca="false">SUMIFS(الرواتب!$D$5:$D$22,الرواتب!$B$5:$B$22,"أغسطس 2026")+SUMIFS(الرواتب!$E$5:$E$22,الرواتب!$B$5:$B$22,"أغسطس 2026")-SUMIFS(الرواتب!$N$5:$N$22,الرواتب!$B$5:$B$22,"أغسطس 2026")</f>
        <v>17233.3333333333</v>
      </c>
      <c r="H25" s="18" t="s">
        <v>131</v>
      </c>
      <c r="I25" s="20" t="n">
        <v>0</v>
      </c>
      <c r="J25" s="18"/>
      <c r="K25" s="18" t="s">
        <v>151</v>
      </c>
      <c r="L25" s="12" t="n">
        <f aca="false">IFERROR(INDEX(الإعدادات!$G$4:$G$15,MATCH($C25,الإعدادات!$H$4:$H$15,0)),"غير معرف")</f>
        <v>5100</v>
      </c>
      <c r="M25" s="12" t="str">
        <f aca="false">IFERROR(INDEX(الإعدادات!$I$4:$I$15,MATCH($C25,الإعدادات!$H$4:$H$15,0)),"غير معرف")</f>
        <v>مصاريف الموظفين</v>
      </c>
      <c r="N25" s="12" t="str">
        <f aca="false">IFERROR(INDEX(الإعدادات!$J$4:$J$15,MATCH($C25,الإعدادات!$H$4:$H$15,0)),"غير معرف")</f>
        <v>مصروف</v>
      </c>
      <c r="O25" s="12" t="str">
        <f aca="false">IFERROR(INDEX(الإعدادات!$K$4:$K$15,MATCH($C25,الإعدادات!$H$4:$H$15,0)),"غير معرف")</f>
        <v>قائمة الدخل</v>
      </c>
      <c r="P25" s="12" t="n">
        <f aca="false">MONTH(A25)</f>
        <v>8</v>
      </c>
      <c r="Q25" s="12" t="str">
        <f aca="false">YEAR(A25)&amp;"-Q"&amp;ROUNDUP(MONTH(A25)/3,0)</f>
        <v>2026-Q3</v>
      </c>
      <c r="R25" s="14" t="n">
        <f aca="false">IF(AND(I25=1,F25&gt;0),F25*الإعدادات!$N$4/(1+الإعدادات!$N$4),0)</f>
        <v>0</v>
      </c>
      <c r="S25" s="14" t="n">
        <f aca="false">IF(AND(I25=1,G25&gt;0),G25*الإعدادات!$N$4/(1+الإعدادات!$N$4),0)</f>
        <v>0</v>
      </c>
      <c r="T25" s="13" t="n">
        <f aca="false">F25+G25-R25-S25</f>
        <v>17233.3333333333</v>
      </c>
    </row>
    <row r="26" customFormat="false" ht="15" hidden="false" customHeight="false" outlineLevel="0" collapsed="false">
      <c r="A26" s="17" t="n">
        <v>46265</v>
      </c>
      <c r="B26" s="18" t="s">
        <v>160</v>
      </c>
      <c r="C26" s="18" t="s">
        <v>28</v>
      </c>
      <c r="D26" s="18"/>
      <c r="E26" s="18"/>
      <c r="F26" s="19"/>
      <c r="G26" s="19" t="n">
        <f aca="false">SUMIFS(الرواتب!$G$5:$G$22,الرواتب!$B$5:$B$22,"أغسطس 2026")+SUMIFS(الرواتب!$H$5:$H$22,الرواتب!$B$5:$B$22,"أغسطس 2026")+SUMIFS(الرواتب!$J$5:$J$22,الرواتب!$B$5:$B$22,"أغسطس 2026")+SUMIFS(الرواتب!$K$5:$K$22,الرواتب!$B$5:$B$22,"أغسطس 2026")</f>
        <v>21256</v>
      </c>
      <c r="H26" s="18" t="s">
        <v>131</v>
      </c>
      <c r="I26" s="20" t="n">
        <v>0</v>
      </c>
      <c r="J26" s="18"/>
      <c r="K26" s="18" t="s">
        <v>151</v>
      </c>
      <c r="L26" s="12" t="n">
        <f aca="false">IFERROR(INDEX(الإعدادات!$G$4:$G$15,MATCH($C26,الإعدادات!$H$4:$H$15,0)),"غير معرف")</f>
        <v>5110</v>
      </c>
      <c r="M26" s="12" t="str">
        <f aca="false">IFERROR(INDEX(الإعدادات!$I$4:$I$15,MATCH($C26,الإعدادات!$H$4:$H$15,0)),"غير معرف")</f>
        <v>مصاريف الموظفين</v>
      </c>
      <c r="N26" s="12" t="str">
        <f aca="false">IFERROR(INDEX(الإعدادات!$J$4:$J$15,MATCH($C26,الإعدادات!$H$4:$H$15,0)),"غير معرف")</f>
        <v>مصروف</v>
      </c>
      <c r="O26" s="12" t="str">
        <f aca="false">IFERROR(INDEX(الإعدادات!$K$4:$K$15,MATCH($C26,الإعدادات!$H$4:$H$15,0)),"غير معرف")</f>
        <v>قائمة الدخل</v>
      </c>
      <c r="P26" s="12" t="n">
        <f aca="false">MONTH(A26)</f>
        <v>8</v>
      </c>
      <c r="Q26" s="12" t="str">
        <f aca="false">YEAR(A26)&amp;"-Q"&amp;ROUNDUP(MONTH(A26)/3,0)</f>
        <v>2026-Q3</v>
      </c>
      <c r="R26" s="14" t="n">
        <f aca="false">IF(AND(I26=1,F26&gt;0),F26*الإعدادات!$N$4/(1+الإعدادات!$N$4),0)</f>
        <v>0</v>
      </c>
      <c r="S26" s="14" t="n">
        <f aca="false">IF(AND(I26=1,G26&gt;0),G26*الإعدادات!$N$4/(1+الإعدادات!$N$4),0)</f>
        <v>0</v>
      </c>
      <c r="T26" s="13" t="n">
        <f aca="false">F26+G26-R26-S26</f>
        <v>21256</v>
      </c>
    </row>
    <row r="27" customFormat="false" ht="15" hidden="false" customHeight="false" outlineLevel="0" collapsed="false">
      <c r="A27" s="11" t="n">
        <v>46266</v>
      </c>
      <c r="B27" s="4" t="s">
        <v>128</v>
      </c>
      <c r="C27" s="4" t="s">
        <v>35</v>
      </c>
      <c r="D27" s="4" t="s">
        <v>129</v>
      </c>
      <c r="E27" s="4" t="s">
        <v>130</v>
      </c>
      <c r="F27" s="5"/>
      <c r="G27" s="5" t="n">
        <v>11500</v>
      </c>
      <c r="H27" s="4" t="s">
        <v>131</v>
      </c>
      <c r="I27" s="8" t="n">
        <v>1</v>
      </c>
      <c r="J27" s="4"/>
      <c r="K27" s="12" t="s">
        <v>132</v>
      </c>
      <c r="L27" s="12" t="n">
        <f aca="false">IFERROR(INDEX(الإعدادات!$G$4:$G$15,MATCH($C27,الإعدادات!$H$4:$H$15,0)),"غير معرف")</f>
        <v>5200</v>
      </c>
      <c r="M27" s="12" t="str">
        <f aca="false">IFERROR(INDEX(الإعدادات!$I$4:$I$15,MATCH($C27,الإعدادات!$H$4:$H$15,0)),"غير معرف")</f>
        <v>مصاريف الفرع</v>
      </c>
      <c r="N27" s="12" t="str">
        <f aca="false">IFERROR(INDEX(الإعدادات!$J$4:$J$15,MATCH($C27,الإعدادات!$H$4:$H$15,0)),"غير معرف")</f>
        <v>مصروف</v>
      </c>
      <c r="O27" s="12" t="str">
        <f aca="false">IFERROR(INDEX(الإعدادات!$K$4:$K$15,MATCH($C27,الإعدادات!$H$4:$H$15,0)),"غير معرف")</f>
        <v>قائمة الدخل</v>
      </c>
      <c r="P27" s="12" t="n">
        <f aca="false">MONTH(A27)</f>
        <v>9</v>
      </c>
      <c r="Q27" s="12" t="str">
        <f aca="false">YEAR(A27)&amp;"-Q"&amp;ROUNDUP(MONTH(A27)/3,0)</f>
        <v>2026-Q3</v>
      </c>
      <c r="R27" s="14" t="n">
        <f aca="false">IF(AND(I27=1,F27&gt;0),F27*الإعدادات!$N$4/(1+الإعدادات!$N$4),0)</f>
        <v>0</v>
      </c>
      <c r="S27" s="14" t="n">
        <f aca="false">IF(AND(I27=1,G27&gt;0),G27*الإعدادات!$N$4/(1+الإعدادات!$N$4),0)</f>
        <v>1500</v>
      </c>
      <c r="T27" s="13" t="n">
        <f aca="false">F27+G27-R27-S27</f>
        <v>10000</v>
      </c>
    </row>
    <row r="28" customFormat="false" ht="15" hidden="false" customHeight="false" outlineLevel="0" collapsed="false">
      <c r="A28" s="11" t="n">
        <v>46270</v>
      </c>
      <c r="B28" s="4" t="s">
        <v>133</v>
      </c>
      <c r="C28" s="4" t="s">
        <v>39</v>
      </c>
      <c r="D28" s="4" t="s">
        <v>134</v>
      </c>
      <c r="E28" s="4" t="s">
        <v>135</v>
      </c>
      <c r="F28" s="5"/>
      <c r="G28" s="5" t="n">
        <v>1429</v>
      </c>
      <c r="H28" s="4" t="s">
        <v>131</v>
      </c>
      <c r="I28" s="8" t="n">
        <v>1</v>
      </c>
      <c r="J28" s="4"/>
      <c r="K28" s="12" t="s">
        <v>136</v>
      </c>
      <c r="L28" s="12" t="n">
        <f aca="false">IFERROR(INDEX(الإعدادات!$G$4:$G$15,MATCH($C28,الإعدادات!$H$4:$H$15,0)),"غير معرف")</f>
        <v>5210</v>
      </c>
      <c r="M28" s="12" t="str">
        <f aca="false">IFERROR(INDEX(الإعدادات!$I$4:$I$15,MATCH($C28,الإعدادات!$H$4:$H$15,0)),"غير معرف")</f>
        <v>مصاريف الفرع</v>
      </c>
      <c r="N28" s="12" t="str">
        <f aca="false">IFERROR(INDEX(الإعدادات!$J$4:$J$15,MATCH($C28,الإعدادات!$H$4:$H$15,0)),"غير معرف")</f>
        <v>مصروف</v>
      </c>
      <c r="O28" s="12" t="str">
        <f aca="false">IFERROR(INDEX(الإعدادات!$K$4:$K$15,MATCH($C28,الإعدادات!$H$4:$H$15,0)),"غير معرف")</f>
        <v>قائمة الدخل</v>
      </c>
      <c r="P28" s="12" t="n">
        <f aca="false">MONTH(A28)</f>
        <v>9</v>
      </c>
      <c r="Q28" s="12" t="str">
        <f aca="false">YEAR(A28)&amp;"-Q"&amp;ROUNDUP(MONTH(A28)/3,0)</f>
        <v>2026-Q3</v>
      </c>
      <c r="R28" s="14" t="n">
        <f aca="false">IF(AND(I28=1,F28&gt;0),F28*الإعدادات!$N$4/(1+الإعدادات!$N$4),0)</f>
        <v>0</v>
      </c>
      <c r="S28" s="14" t="n">
        <f aca="false">IF(AND(I28=1,G28&gt;0),G28*الإعدادات!$N$4/(1+الإعدادات!$N$4),0)</f>
        <v>186.391304347826</v>
      </c>
      <c r="T28" s="13" t="n">
        <f aca="false">F28+G28-R28-S28</f>
        <v>1242.60869565217</v>
      </c>
    </row>
    <row r="29" customFormat="false" ht="15" hidden="false" customHeight="false" outlineLevel="0" collapsed="false">
      <c r="A29" s="11" t="n">
        <v>46275</v>
      </c>
      <c r="B29" s="4" t="s">
        <v>161</v>
      </c>
      <c r="C29" s="4" t="s">
        <v>32</v>
      </c>
      <c r="D29" s="4" t="s">
        <v>162</v>
      </c>
      <c r="E29" s="4"/>
      <c r="F29" s="5"/>
      <c r="G29" s="5" t="n">
        <v>2000</v>
      </c>
      <c r="H29" s="4" t="s">
        <v>131</v>
      </c>
      <c r="I29" s="8" t="n">
        <v>0</v>
      </c>
      <c r="J29" s="4"/>
      <c r="K29" s="12" t="s">
        <v>136</v>
      </c>
      <c r="L29" s="12" t="n">
        <f aca="false">IFERROR(INDEX(الإعدادات!$G$4:$G$15,MATCH($C29,الإعدادات!$H$4:$H$15,0)),"غير معرف")</f>
        <v>5120</v>
      </c>
      <c r="M29" s="12" t="str">
        <f aca="false">IFERROR(INDEX(الإعدادات!$I$4:$I$15,MATCH($C29,الإعدادات!$H$4:$H$15,0)),"غير معرف")</f>
        <v>مصاريف الموظفين</v>
      </c>
      <c r="N29" s="12" t="str">
        <f aca="false">IFERROR(INDEX(الإعدادات!$J$4:$J$15,MATCH($C29,الإعدادات!$H$4:$H$15,0)),"غير معرف")</f>
        <v>مصروف</v>
      </c>
      <c r="O29" s="12" t="str">
        <f aca="false">IFERROR(INDEX(الإعدادات!$K$4:$K$15,MATCH($C29,الإعدادات!$H$4:$H$15,0)),"غير معرف")</f>
        <v>قائمة الدخل</v>
      </c>
      <c r="P29" s="12" t="n">
        <f aca="false">MONTH(A29)</f>
        <v>9</v>
      </c>
      <c r="Q29" s="12" t="str">
        <f aca="false">YEAR(A29)&amp;"-Q"&amp;ROUNDUP(MONTH(A29)/3,0)</f>
        <v>2026-Q3</v>
      </c>
      <c r="R29" s="14" t="n">
        <f aca="false">IF(AND(I29=1,F29&gt;0),F29*الإعدادات!$N$4/(1+الإعدادات!$N$4),0)</f>
        <v>0</v>
      </c>
      <c r="S29" s="14" t="n">
        <f aca="false">IF(AND(I29=1,G29&gt;0),G29*الإعدادات!$N$4/(1+الإعدادات!$N$4),0)</f>
        <v>0</v>
      </c>
      <c r="T29" s="13" t="n">
        <f aca="false">F29+G29-R29-S29</f>
        <v>2000</v>
      </c>
    </row>
    <row r="30" customFormat="false" ht="15" hidden="false" customHeight="false" outlineLevel="0" collapsed="false">
      <c r="A30" s="11" t="n">
        <v>46279</v>
      </c>
      <c r="B30" s="4" t="s">
        <v>137</v>
      </c>
      <c r="C30" s="4" t="s">
        <v>41</v>
      </c>
      <c r="D30" s="4" t="s">
        <v>138</v>
      </c>
      <c r="E30" s="4" t="s">
        <v>139</v>
      </c>
      <c r="F30" s="5"/>
      <c r="G30" s="5" t="n">
        <v>3833</v>
      </c>
      <c r="H30" s="4" t="s">
        <v>131</v>
      </c>
      <c r="I30" s="8" t="n">
        <v>1</v>
      </c>
      <c r="J30" s="4"/>
      <c r="K30" s="12" t="s">
        <v>136</v>
      </c>
      <c r="L30" s="12" t="n">
        <f aca="false">IFERROR(INDEX(الإعدادات!$G$4:$G$15,MATCH($C30,الإعدادات!$H$4:$H$15,0)),"غير معرف")</f>
        <v>5220</v>
      </c>
      <c r="M30" s="12" t="str">
        <f aca="false">IFERROR(INDEX(الإعدادات!$I$4:$I$15,MATCH($C30,الإعدادات!$H$4:$H$15,0)),"غير معرف")</f>
        <v>مصاريف التشغيل</v>
      </c>
      <c r="N30" s="12" t="str">
        <f aca="false">IFERROR(INDEX(الإعدادات!$J$4:$J$15,MATCH($C30,الإعدادات!$H$4:$H$15,0)),"غير معرف")</f>
        <v>مصروف</v>
      </c>
      <c r="O30" s="12" t="str">
        <f aca="false">IFERROR(INDEX(الإعدادات!$K$4:$K$15,MATCH($C30,الإعدادات!$H$4:$H$15,0)),"غير معرف")</f>
        <v>قائمة الدخل</v>
      </c>
      <c r="P30" s="12" t="n">
        <f aca="false">MONTH(A30)</f>
        <v>9</v>
      </c>
      <c r="Q30" s="12" t="str">
        <f aca="false">YEAR(A30)&amp;"-Q"&amp;ROUNDUP(MONTH(A30)/3,0)</f>
        <v>2026-Q3</v>
      </c>
      <c r="R30" s="14" t="n">
        <f aca="false">IF(AND(I30=1,F30&gt;0),F30*الإعدادات!$N$4/(1+الإعدادات!$N$4),0)</f>
        <v>0</v>
      </c>
      <c r="S30" s="14" t="n">
        <f aca="false">IF(AND(I30=1,G30&gt;0),G30*الإعدادات!$N$4/(1+الإعدادات!$N$4),0)</f>
        <v>499.95652173913</v>
      </c>
      <c r="T30" s="13" t="n">
        <f aca="false">F30+G30-R30-S30</f>
        <v>3333.04347826087</v>
      </c>
    </row>
    <row r="31" customFormat="false" ht="15" hidden="false" customHeight="false" outlineLevel="0" collapsed="false">
      <c r="A31" s="11" t="n">
        <v>46283</v>
      </c>
      <c r="B31" s="4" t="s">
        <v>137</v>
      </c>
      <c r="C31" s="4" t="s">
        <v>41</v>
      </c>
      <c r="D31" s="4" t="s">
        <v>140</v>
      </c>
      <c r="E31" s="4" t="s">
        <v>141</v>
      </c>
      <c r="F31" s="5"/>
      <c r="G31" s="5" t="n">
        <v>4909</v>
      </c>
      <c r="H31" s="4" t="s">
        <v>131</v>
      </c>
      <c r="I31" s="8" t="n">
        <v>1</v>
      </c>
      <c r="J31" s="4"/>
      <c r="K31" s="12" t="s">
        <v>136</v>
      </c>
      <c r="L31" s="12" t="n">
        <f aca="false">IFERROR(INDEX(الإعدادات!$G$4:$G$15,MATCH($C31,الإعدادات!$H$4:$H$15,0)),"غير معرف")</f>
        <v>5220</v>
      </c>
      <c r="M31" s="12" t="str">
        <f aca="false">IFERROR(INDEX(الإعدادات!$I$4:$I$15,MATCH($C31,الإعدادات!$H$4:$H$15,0)),"غير معرف")</f>
        <v>مصاريف التشغيل</v>
      </c>
      <c r="N31" s="12" t="str">
        <f aca="false">IFERROR(INDEX(الإعدادات!$J$4:$J$15,MATCH($C31,الإعدادات!$H$4:$H$15,0)),"غير معرف")</f>
        <v>مصروف</v>
      </c>
      <c r="O31" s="12" t="str">
        <f aca="false">IFERROR(INDEX(الإعدادات!$K$4:$K$15,MATCH($C31,الإعدادات!$H$4:$H$15,0)),"غير معرف")</f>
        <v>قائمة الدخل</v>
      </c>
      <c r="P31" s="12" t="n">
        <f aca="false">MONTH(A31)</f>
        <v>9</v>
      </c>
      <c r="Q31" s="12" t="str">
        <f aca="false">YEAR(A31)&amp;"-Q"&amp;ROUNDUP(MONTH(A31)/3,0)</f>
        <v>2026-Q3</v>
      </c>
      <c r="R31" s="14" t="n">
        <f aca="false">IF(AND(I31=1,F31&gt;0),F31*الإعدادات!$N$4/(1+الإعدادات!$N$4),0)</f>
        <v>0</v>
      </c>
      <c r="S31" s="14" t="n">
        <f aca="false">IF(AND(I31=1,G31&gt;0),G31*الإعدادات!$N$4/(1+الإعدادات!$N$4),0)</f>
        <v>640.304347826087</v>
      </c>
      <c r="T31" s="13" t="n">
        <f aca="false">F31+G31-R31-S31</f>
        <v>4268.69565217391</v>
      </c>
    </row>
    <row r="32" customFormat="false" ht="15" hidden="false" customHeight="false" outlineLevel="0" collapsed="false">
      <c r="A32" s="11" t="n">
        <v>46290</v>
      </c>
      <c r="B32" s="4" t="s">
        <v>142</v>
      </c>
      <c r="C32" s="4" t="s">
        <v>45</v>
      </c>
      <c r="D32" s="4" t="s">
        <v>143</v>
      </c>
      <c r="E32" s="4" t="s">
        <v>144</v>
      </c>
      <c r="F32" s="5"/>
      <c r="G32" s="5" t="n">
        <v>1643</v>
      </c>
      <c r="H32" s="4" t="s">
        <v>131</v>
      </c>
      <c r="I32" s="8" t="n">
        <v>1</v>
      </c>
      <c r="J32" s="4"/>
      <c r="K32" s="12" t="s">
        <v>136</v>
      </c>
      <c r="L32" s="12" t="n">
        <f aca="false">IFERROR(INDEX(الإعدادات!$G$4:$G$15,MATCH($C32,الإعدادات!$H$4:$H$15,0)),"غير معرف")</f>
        <v>5300</v>
      </c>
      <c r="M32" s="12" t="str">
        <f aca="false">IFERROR(INDEX(الإعدادات!$I$4:$I$15,MATCH($C32,الإعدادات!$H$4:$H$15,0)),"غير معرف")</f>
        <v>مصاريف التشغيل</v>
      </c>
      <c r="N32" s="12" t="str">
        <f aca="false">IFERROR(INDEX(الإعدادات!$J$4:$J$15,MATCH($C32,الإعدادات!$H$4:$H$15,0)),"غير معرف")</f>
        <v>مصروف</v>
      </c>
      <c r="O32" s="12" t="str">
        <f aca="false">IFERROR(INDEX(الإعدادات!$K$4:$K$15,MATCH($C32,الإعدادات!$H$4:$H$15,0)),"غير معرف")</f>
        <v>قائمة الدخل</v>
      </c>
      <c r="P32" s="12" t="n">
        <f aca="false">MONTH(A32)</f>
        <v>9</v>
      </c>
      <c r="Q32" s="12" t="str">
        <f aca="false">YEAR(A32)&amp;"-Q"&amp;ROUNDUP(MONTH(A32)/3,0)</f>
        <v>2026-Q3</v>
      </c>
      <c r="R32" s="14" t="n">
        <f aca="false">IF(AND(I32=1,F32&gt;0),F32*الإعدادات!$N$4/(1+الإعدادات!$N$4),0)</f>
        <v>0</v>
      </c>
      <c r="S32" s="14" t="n">
        <f aca="false">IF(AND(I32=1,G32&gt;0),G32*الإعدادات!$N$4/(1+الإعدادات!$N$4),0)</f>
        <v>214.304347826087</v>
      </c>
      <c r="T32" s="13" t="n">
        <f aca="false">F32+G32-R32-S32</f>
        <v>1428.69565217391</v>
      </c>
    </row>
    <row r="33" customFormat="false" ht="15" hidden="false" customHeight="false" outlineLevel="0" collapsed="false">
      <c r="A33" s="11" t="n">
        <v>46293</v>
      </c>
      <c r="B33" s="4" t="s">
        <v>145</v>
      </c>
      <c r="C33" s="4" t="s">
        <v>46</v>
      </c>
      <c r="D33" s="4" t="s">
        <v>146</v>
      </c>
      <c r="E33" s="4"/>
      <c r="F33" s="5"/>
      <c r="G33" s="5" t="n">
        <v>890</v>
      </c>
      <c r="H33" s="4" t="s">
        <v>131</v>
      </c>
      <c r="I33" s="8" t="n">
        <v>1</v>
      </c>
      <c r="J33" s="4"/>
      <c r="K33" s="12" t="s">
        <v>136</v>
      </c>
      <c r="L33" s="12" t="n">
        <f aca="false">IFERROR(INDEX(الإعدادات!$G$4:$G$15,MATCH($C33,الإعدادات!$H$4:$H$15,0)),"غير معرف")</f>
        <v>5400</v>
      </c>
      <c r="M33" s="12" t="str">
        <f aca="false">IFERROR(INDEX(الإعدادات!$I$4:$I$15,MATCH($C33,الإعدادات!$H$4:$H$15,0)),"غير معرف")</f>
        <v>مصاريف التشغيل</v>
      </c>
      <c r="N33" s="12" t="str">
        <f aca="false">IFERROR(INDEX(الإعدادات!$J$4:$J$15,MATCH($C33,الإعدادات!$H$4:$H$15,0)),"غير معرف")</f>
        <v>مصروف</v>
      </c>
      <c r="O33" s="12" t="str">
        <f aca="false">IFERROR(INDEX(الإعدادات!$K$4:$K$15,MATCH($C33,الإعدادات!$H$4:$H$15,0)),"غير معرف")</f>
        <v>قائمة الدخل</v>
      </c>
      <c r="P33" s="12" t="n">
        <f aca="false">MONTH(A33)</f>
        <v>9</v>
      </c>
      <c r="Q33" s="12" t="str">
        <f aca="false">YEAR(A33)&amp;"-Q"&amp;ROUNDUP(MONTH(A33)/3,0)</f>
        <v>2026-Q3</v>
      </c>
      <c r="R33" s="14" t="n">
        <f aca="false">IF(AND(I33=1,F33&gt;0),F33*الإعدادات!$N$4/(1+الإعدادات!$N$4),0)</f>
        <v>0</v>
      </c>
      <c r="S33" s="14" t="n">
        <f aca="false">IF(AND(I33=1,G33&gt;0),G33*الإعدادات!$N$4/(1+الإعدادات!$N$4),0)</f>
        <v>116.086956521739</v>
      </c>
      <c r="T33" s="13" t="n">
        <f aca="false">F33+G33-R33-S33</f>
        <v>773.913043478261</v>
      </c>
    </row>
    <row r="34" customFormat="false" ht="15" hidden="false" customHeight="false" outlineLevel="0" collapsed="false">
      <c r="A34" s="11" t="n">
        <v>46295</v>
      </c>
      <c r="B34" s="4" t="s">
        <v>163</v>
      </c>
      <c r="C34" s="4" t="s">
        <v>48</v>
      </c>
      <c r="D34" s="4" t="s">
        <v>164</v>
      </c>
      <c r="E34" s="4"/>
      <c r="F34" s="5"/>
      <c r="G34" s="5" t="n">
        <v>6000</v>
      </c>
      <c r="H34" s="4" t="s">
        <v>131</v>
      </c>
      <c r="I34" s="8" t="n">
        <v>0</v>
      </c>
      <c r="J34" s="4" t="s">
        <v>165</v>
      </c>
      <c r="K34" s="12" t="s">
        <v>166</v>
      </c>
      <c r="L34" s="12" t="n">
        <f aca="false">IFERROR(INDEX(الإعدادات!$G$4:$G$15,MATCH($C34,الإعدادات!$H$4:$H$15,0)),"غير معرف")</f>
        <v>2300</v>
      </c>
      <c r="M34" s="12" t="str">
        <f aca="false">IFERROR(INDEX(الإعدادات!$I$4:$I$15,MATCH($C34,الإعدادات!$H$4:$H$15,0)),"غير معرف")</f>
        <v>الالتزامات</v>
      </c>
      <c r="N34" s="12" t="str">
        <f aca="false">IFERROR(INDEX(الإعدادات!$J$4:$J$15,MATCH($C34,الإعدادات!$H$4:$H$15,0)),"غير معرف")</f>
        <v>تسوية</v>
      </c>
      <c r="O34" s="12" t="str">
        <f aca="false">IFERROR(INDEX(الإعدادات!$K$4:$K$15,MATCH($C34,الإعدادات!$H$4:$H$15,0)),"غير معرف")</f>
        <v>المركز المالي</v>
      </c>
      <c r="P34" s="12" t="n">
        <f aca="false">MONTH(A34)</f>
        <v>9</v>
      </c>
      <c r="Q34" s="12" t="str">
        <f aca="false">YEAR(A34)&amp;"-Q"&amp;ROUNDUP(MONTH(A34)/3,0)</f>
        <v>2026-Q3</v>
      </c>
      <c r="R34" s="14" t="n">
        <f aca="false">IF(AND(I34=1,F34&gt;0),F34*الإعدادات!$N$4/(1+الإعدادات!$N$4),0)</f>
        <v>0</v>
      </c>
      <c r="S34" s="14" t="n">
        <f aca="false">IF(AND(I34=1,G34&gt;0),G34*الإعدادات!$N$4/(1+الإعدادات!$N$4),0)</f>
        <v>0</v>
      </c>
      <c r="T34" s="13" t="n">
        <f aca="false">F34+G34-R34-S34</f>
        <v>6000</v>
      </c>
    </row>
    <row r="35" customFormat="false" ht="15" hidden="false" customHeight="false" outlineLevel="0" collapsed="false">
      <c r="A35" s="17" t="n">
        <v>46295</v>
      </c>
      <c r="B35" s="18" t="s">
        <v>167</v>
      </c>
      <c r="C35" s="18" t="s">
        <v>15</v>
      </c>
      <c r="D35" s="18"/>
      <c r="E35" s="18"/>
      <c r="F35" s="19" t="n">
        <f aca="false">SUMIFS(اليومية!$V$5:$V$96,اليومية!$C$5:$C$96,"سبتمبر 2026")</f>
        <v>118417</v>
      </c>
      <c r="G35" s="19"/>
      <c r="H35" s="18" t="s">
        <v>131</v>
      </c>
      <c r="I35" s="20" t="n">
        <v>1</v>
      </c>
      <c r="J35" s="18"/>
      <c r="K35" s="18" t="s">
        <v>148</v>
      </c>
      <c r="L35" s="12" t="n">
        <f aca="false">IFERROR(INDEX(الإعدادات!$G$4:$G$15,MATCH($C35,الإعدادات!$H$4:$H$15,0)),"غير معرف")</f>
        <v>4100</v>
      </c>
      <c r="M35" s="12" t="str">
        <f aca="false">IFERROR(INDEX(الإعدادات!$I$4:$I$15,MATCH($C35,الإعدادات!$H$4:$H$15,0)),"غير معرف")</f>
        <v>الإيرادات</v>
      </c>
      <c r="N35" s="12" t="str">
        <f aca="false">IFERROR(INDEX(الإعدادات!$J$4:$J$15,MATCH($C35,الإعدادات!$H$4:$H$15,0)),"غير معرف")</f>
        <v>إيراد</v>
      </c>
      <c r="O35" s="12" t="str">
        <f aca="false">IFERROR(INDEX(الإعدادات!$K$4:$K$15,MATCH($C35,الإعدادات!$H$4:$H$15,0)),"غير معرف")</f>
        <v>قائمة الدخل</v>
      </c>
      <c r="P35" s="12" t="n">
        <f aca="false">MONTH(A35)</f>
        <v>9</v>
      </c>
      <c r="Q35" s="12" t="str">
        <f aca="false">YEAR(A35)&amp;"-Q"&amp;ROUNDUP(MONTH(A35)/3,0)</f>
        <v>2026-Q3</v>
      </c>
      <c r="R35" s="14" t="n">
        <f aca="false">IF(AND(I35=1,F35&gt;0),F35*الإعدادات!$N$4/(1+الإعدادات!$N$4),0)</f>
        <v>15445.6956521739</v>
      </c>
      <c r="S35" s="14" t="n">
        <f aca="false">IF(AND(I35=1,G35&gt;0),G35*الإعدادات!$N$4/(1+الإعدادات!$N$4),0)</f>
        <v>0</v>
      </c>
      <c r="T35" s="13" t="n">
        <f aca="false">F35+G35-R35-S35</f>
        <v>102971.304347826</v>
      </c>
    </row>
    <row r="36" customFormat="false" ht="15" hidden="false" customHeight="false" outlineLevel="0" collapsed="false">
      <c r="A36" s="17" t="n">
        <v>46295</v>
      </c>
      <c r="B36" s="18" t="s">
        <v>168</v>
      </c>
      <c r="C36" s="18" t="s">
        <v>47</v>
      </c>
      <c r="D36" s="18"/>
      <c r="E36" s="18"/>
      <c r="F36" s="19"/>
      <c r="G36" s="19" t="n">
        <f aca="false">SUMIFS(اليومية!$P$5:$P$96,اليومية!$C$5:$C$96,"سبتمبر 2026")-SUMIFS(الرواتب!$O$5:$O$22,الرواتب!$B$5:$B$22,"سبتمبر 2026")</f>
        <v>2863</v>
      </c>
      <c r="H36" s="18" t="s">
        <v>74</v>
      </c>
      <c r="I36" s="20" t="n">
        <v>0</v>
      </c>
      <c r="J36" s="18"/>
      <c r="K36" s="18" t="s">
        <v>148</v>
      </c>
      <c r="L36" s="12" t="n">
        <f aca="false">IFERROR(INDEX(الإعدادات!$G$4:$G$15,MATCH($C36,الإعدادات!$H$4:$H$15,0)),"غير معرف")</f>
        <v>5900</v>
      </c>
      <c r="M36" s="12" t="str">
        <f aca="false">IFERROR(INDEX(الإعدادات!$I$4:$I$15,MATCH($C36,الإعدادات!$H$4:$H$15,0)),"غير معرف")</f>
        <v>مصاريف التشغيل</v>
      </c>
      <c r="N36" s="12" t="str">
        <f aca="false">IFERROR(INDEX(الإعدادات!$J$4:$J$15,MATCH($C36,الإعدادات!$H$4:$H$15,0)),"غير معرف")</f>
        <v>مصروف</v>
      </c>
      <c r="O36" s="12" t="str">
        <f aca="false">IFERROR(INDEX(الإعدادات!$K$4:$K$15,MATCH($C36,الإعدادات!$H$4:$H$15,0)),"غير معرف")</f>
        <v>قائمة الدخل</v>
      </c>
      <c r="P36" s="12" t="n">
        <f aca="false">MONTH(A36)</f>
        <v>9</v>
      </c>
      <c r="Q36" s="12" t="str">
        <f aca="false">YEAR(A36)&amp;"-Q"&amp;ROUNDUP(MONTH(A36)/3,0)</f>
        <v>2026-Q3</v>
      </c>
      <c r="R36" s="14" t="n">
        <f aca="false">IF(AND(I36=1,F36&gt;0),F36*الإعدادات!$N$4/(1+الإعدادات!$N$4),0)</f>
        <v>0</v>
      </c>
      <c r="S36" s="14" t="n">
        <f aca="false">IF(AND(I36=1,G36&gt;0),G36*الإعدادات!$N$4/(1+الإعدادات!$N$4),0)</f>
        <v>0</v>
      </c>
      <c r="T36" s="13" t="n">
        <f aca="false">F36+G36-R36-S36</f>
        <v>2863</v>
      </c>
    </row>
    <row r="37" customFormat="false" ht="15" hidden="false" customHeight="false" outlineLevel="0" collapsed="false">
      <c r="A37" s="17" t="n">
        <v>46295</v>
      </c>
      <c r="B37" s="18" t="s">
        <v>169</v>
      </c>
      <c r="C37" s="18" t="s">
        <v>22</v>
      </c>
      <c r="D37" s="18"/>
      <c r="E37" s="18"/>
      <c r="F37" s="19"/>
      <c r="G37" s="19" t="n">
        <f aca="false">SUMIFS(الرواتب!$D$5:$D$22,الرواتب!$B$5:$B$22,"سبتمبر 2026")+SUMIFS(الرواتب!$E$5:$E$22,الرواتب!$B$5:$B$22,"سبتمبر 2026")-SUMIFS(الرواتب!$N$5:$N$22,الرواتب!$B$5:$B$22,"سبتمبر 2026")</f>
        <v>17036.6666666667</v>
      </c>
      <c r="H37" s="18" t="s">
        <v>131</v>
      </c>
      <c r="I37" s="20" t="n">
        <v>0</v>
      </c>
      <c r="J37" s="18"/>
      <c r="K37" s="18" t="s">
        <v>151</v>
      </c>
      <c r="L37" s="12" t="n">
        <f aca="false">IFERROR(INDEX(الإعدادات!$G$4:$G$15,MATCH($C37,الإعدادات!$H$4:$H$15,0)),"غير معرف")</f>
        <v>5100</v>
      </c>
      <c r="M37" s="12" t="str">
        <f aca="false">IFERROR(INDEX(الإعدادات!$I$4:$I$15,MATCH($C37,الإعدادات!$H$4:$H$15,0)),"غير معرف")</f>
        <v>مصاريف الموظفين</v>
      </c>
      <c r="N37" s="12" t="str">
        <f aca="false">IFERROR(INDEX(الإعدادات!$J$4:$J$15,MATCH($C37,الإعدادات!$H$4:$H$15,0)),"غير معرف")</f>
        <v>مصروف</v>
      </c>
      <c r="O37" s="12" t="str">
        <f aca="false">IFERROR(INDEX(الإعدادات!$K$4:$K$15,MATCH($C37,الإعدادات!$H$4:$H$15,0)),"غير معرف")</f>
        <v>قائمة الدخل</v>
      </c>
      <c r="P37" s="12" t="n">
        <f aca="false">MONTH(A37)</f>
        <v>9</v>
      </c>
      <c r="Q37" s="12" t="str">
        <f aca="false">YEAR(A37)&amp;"-Q"&amp;ROUNDUP(MONTH(A37)/3,0)</f>
        <v>2026-Q3</v>
      </c>
      <c r="R37" s="14" t="n">
        <f aca="false">IF(AND(I37=1,F37&gt;0),F37*الإعدادات!$N$4/(1+الإعدادات!$N$4),0)</f>
        <v>0</v>
      </c>
      <c r="S37" s="14" t="n">
        <f aca="false">IF(AND(I37=1,G37&gt;0),G37*الإعدادات!$N$4/(1+الإعدادات!$N$4),0)</f>
        <v>0</v>
      </c>
      <c r="T37" s="13" t="n">
        <f aca="false">F37+G37-R37-S37</f>
        <v>17036.6666666667</v>
      </c>
    </row>
    <row r="38" customFormat="false" ht="15" hidden="false" customHeight="false" outlineLevel="0" collapsed="false">
      <c r="A38" s="17" t="n">
        <v>46295</v>
      </c>
      <c r="B38" s="18" t="s">
        <v>170</v>
      </c>
      <c r="C38" s="18" t="s">
        <v>28</v>
      </c>
      <c r="D38" s="18"/>
      <c r="E38" s="18"/>
      <c r="F38" s="19"/>
      <c r="G38" s="19" t="n">
        <f aca="false">SUMIFS(الرواتب!$G$5:$G$22,الرواتب!$B$5:$B$22,"سبتمبر 2026")+SUMIFS(الرواتب!$H$5:$H$22,الرواتب!$B$5:$B$22,"سبتمبر 2026")+SUMIFS(الرواتب!$J$5:$J$22,الرواتب!$B$5:$B$22,"سبتمبر 2026")+SUMIFS(الرواتب!$K$5:$K$22,الرواتب!$B$5:$B$22,"سبتمبر 2026")</f>
        <v>22459.5</v>
      </c>
      <c r="H38" s="18" t="s">
        <v>131</v>
      </c>
      <c r="I38" s="20" t="n">
        <v>0</v>
      </c>
      <c r="J38" s="18"/>
      <c r="K38" s="18" t="s">
        <v>151</v>
      </c>
      <c r="L38" s="12" t="n">
        <f aca="false">IFERROR(INDEX(الإعدادات!$G$4:$G$15,MATCH($C38,الإعدادات!$H$4:$H$15,0)),"غير معرف")</f>
        <v>5110</v>
      </c>
      <c r="M38" s="12" t="str">
        <f aca="false">IFERROR(INDEX(الإعدادات!$I$4:$I$15,MATCH($C38,الإعدادات!$H$4:$H$15,0)),"غير معرف")</f>
        <v>مصاريف الموظفين</v>
      </c>
      <c r="N38" s="12" t="str">
        <f aca="false">IFERROR(INDEX(الإعدادات!$J$4:$J$15,MATCH($C38,الإعدادات!$H$4:$H$15,0)),"غير معرف")</f>
        <v>مصروف</v>
      </c>
      <c r="O38" s="12" t="str">
        <f aca="false">IFERROR(INDEX(الإعدادات!$K$4:$K$15,MATCH($C38,الإعدادات!$H$4:$H$15,0)),"غير معرف")</f>
        <v>قائمة الدخل</v>
      </c>
      <c r="P38" s="12" t="n">
        <f aca="false">MONTH(A38)</f>
        <v>9</v>
      </c>
      <c r="Q38" s="12" t="str">
        <f aca="false">YEAR(A38)&amp;"-Q"&amp;ROUNDUP(MONTH(A38)/3,0)</f>
        <v>2026-Q3</v>
      </c>
      <c r="R38" s="14" t="n">
        <f aca="false">IF(AND(I38=1,F38&gt;0),F38*الإعدادات!$N$4/(1+الإعدادات!$N$4),0)</f>
        <v>0</v>
      </c>
      <c r="S38" s="14" t="n">
        <f aca="false">IF(AND(I38=1,G38&gt;0),G38*الإعدادات!$N$4/(1+الإعدادات!$N$4),0)</f>
        <v>0</v>
      </c>
      <c r="T38" s="13" t="n">
        <f aca="false">F38+G38-R38-S38</f>
        <v>22459.5</v>
      </c>
    </row>
  </sheetData>
  <autoFilter ref="A4:T38"/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5" min="3" style="0" width="14"/>
    <col collapsed="false" customWidth="true" hidden="false" outlineLevel="0" max="6" min="6" style="0" width="15"/>
  </cols>
  <sheetData>
    <row r="1" customFormat="false" ht="30" hidden="false" customHeight="true" outlineLevel="0" collapsed="false">
      <c r="A1" s="1" t="s">
        <v>171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172</v>
      </c>
      <c r="B2" s="2"/>
      <c r="C2" s="2"/>
      <c r="D2" s="2"/>
      <c r="E2" s="2"/>
      <c r="F2" s="2"/>
    </row>
    <row r="3" customFormat="false" ht="15" hidden="false" customHeight="false" outlineLevel="0" collapsed="false">
      <c r="C3" s="21" t="n">
        <v>7</v>
      </c>
      <c r="D3" s="21" t="n">
        <v>8</v>
      </c>
      <c r="E3" s="21" t="n">
        <v>9</v>
      </c>
    </row>
    <row r="4" customFormat="false" ht="31.5" hidden="false" customHeight="true" outlineLevel="0" collapsed="false">
      <c r="A4" s="3" t="s">
        <v>173</v>
      </c>
      <c r="B4" s="3" t="s">
        <v>6</v>
      </c>
      <c r="C4" s="3" t="s">
        <v>174</v>
      </c>
      <c r="D4" s="3" t="s">
        <v>175</v>
      </c>
      <c r="E4" s="3" t="s">
        <v>176</v>
      </c>
      <c r="F4" s="3" t="s">
        <v>95</v>
      </c>
    </row>
    <row r="5" customFormat="false" ht="15" hidden="false" customHeight="false" outlineLevel="0" collapsed="false">
      <c r="A5" s="12" t="s">
        <v>15</v>
      </c>
      <c r="B5" s="12" t="n">
        <v>4100</v>
      </c>
      <c r="C5" s="14" t="n">
        <f aca="false">SUMIFS(الدفتر!$T$5:$T$38,الدفتر!$L$5:$L$38,$B5,الدفتر!$P$5:$P$38,C$3)</f>
        <v>109548.695652174</v>
      </c>
      <c r="D5" s="14" t="n">
        <f aca="false">SUMIFS(الدفتر!$T$5:$T$38,الدفتر!$L$5:$L$38,$B5,الدفتر!$P$5:$P$38,D$3)</f>
        <v>110780.869565217</v>
      </c>
      <c r="E5" s="14" t="n">
        <f aca="false">SUMIFS(الدفتر!$T$5:$T$38,الدفتر!$L$5:$L$38,$B5,الدفتر!$P$5:$P$38,E$3)</f>
        <v>102971.304347826</v>
      </c>
      <c r="F5" s="13" t="n">
        <f aca="false">SUM(C5:E5)</f>
        <v>323300.869565217</v>
      </c>
    </row>
    <row r="6" customFormat="false" ht="15" hidden="false" customHeight="false" outlineLevel="0" collapsed="false">
      <c r="A6" s="15" t="s">
        <v>177</v>
      </c>
      <c r="B6" s="18"/>
      <c r="C6" s="16" t="n">
        <f aca="false">C5</f>
        <v>109548.695652174</v>
      </c>
      <c r="D6" s="16" t="n">
        <f aca="false">D5</f>
        <v>110780.869565217</v>
      </c>
      <c r="E6" s="16" t="n">
        <f aca="false">E5</f>
        <v>102971.304347826</v>
      </c>
      <c r="F6" s="16" t="n">
        <f aca="false">F5</f>
        <v>323300.869565217</v>
      </c>
    </row>
    <row r="8" customFormat="false" ht="15" hidden="false" customHeight="false" outlineLevel="0" collapsed="false">
      <c r="A8" s="12" t="s">
        <v>22</v>
      </c>
      <c r="B8" s="12" t="n">
        <v>5100</v>
      </c>
      <c r="C8" s="14" t="n">
        <f aca="false">SUMIFS(الدفتر!$T$5:$T$38,الدفتر!$L$5:$L$38,$B8,الدفتر!$P$5:$P$38,C$3)</f>
        <v>17160</v>
      </c>
      <c r="D8" s="14" t="n">
        <f aca="false">SUMIFS(الدفتر!$T$5:$T$38,الدفتر!$L$5:$L$38,$B8,الدفتر!$P$5:$P$38,D$3)</f>
        <v>17233.3333333333</v>
      </c>
      <c r="E8" s="14" t="n">
        <f aca="false">SUMIFS(الدفتر!$T$5:$T$38,الدفتر!$L$5:$L$38,$B8,الدفتر!$P$5:$P$38,E$3)</f>
        <v>17036.6666666667</v>
      </c>
      <c r="F8" s="13" t="n">
        <f aca="false">SUM(C8:E8)</f>
        <v>51430</v>
      </c>
    </row>
    <row r="9" customFormat="false" ht="15" hidden="false" customHeight="false" outlineLevel="0" collapsed="false">
      <c r="A9" s="12" t="s">
        <v>28</v>
      </c>
      <c r="B9" s="12" t="n">
        <v>5110</v>
      </c>
      <c r="C9" s="14" t="n">
        <f aca="false">SUMIFS(الدفتر!$T$5:$T$38,الدفتر!$L$5:$L$38,$B9,الدفتر!$P$5:$P$38,C$3)</f>
        <v>20024.4</v>
      </c>
      <c r="D9" s="14" t="n">
        <f aca="false">SUMIFS(الدفتر!$T$5:$T$38,الدفتر!$L$5:$L$38,$B9,الدفتر!$P$5:$P$38,D$3)</f>
        <v>21256</v>
      </c>
      <c r="E9" s="14" t="n">
        <f aca="false">SUMIFS(الدفتر!$T$5:$T$38,الدفتر!$L$5:$L$38,$B9,الدفتر!$P$5:$P$38,E$3)</f>
        <v>22459.5</v>
      </c>
      <c r="F9" s="13" t="n">
        <f aca="false">SUM(C9:E9)</f>
        <v>63739.9</v>
      </c>
    </row>
    <row r="10" customFormat="false" ht="15" hidden="false" customHeight="false" outlineLevel="0" collapsed="false">
      <c r="A10" s="12" t="s">
        <v>32</v>
      </c>
      <c r="B10" s="12" t="n">
        <v>5120</v>
      </c>
      <c r="C10" s="14" t="n">
        <f aca="false">SUMIFS(الدفتر!$T$5:$T$38,الدفتر!$L$5:$L$38,$B10,الدفتر!$P$5:$P$38,C$3)</f>
        <v>0</v>
      </c>
      <c r="D10" s="14" t="n">
        <f aca="false">SUMIFS(الدفتر!$T$5:$T$38,الدفتر!$L$5:$L$38,$B10,الدفتر!$P$5:$P$38,D$3)</f>
        <v>2880</v>
      </c>
      <c r="E10" s="14" t="n">
        <f aca="false">SUMIFS(الدفتر!$T$5:$T$38,الدفتر!$L$5:$L$38,$B10,الدفتر!$P$5:$P$38,E$3)</f>
        <v>2000</v>
      </c>
      <c r="F10" s="13" t="n">
        <f aca="false">SUM(C10:E10)</f>
        <v>4880</v>
      </c>
    </row>
    <row r="11" customFormat="false" ht="15" hidden="false" customHeight="false" outlineLevel="0" collapsed="false">
      <c r="A11" s="12" t="s">
        <v>35</v>
      </c>
      <c r="B11" s="12" t="n">
        <v>5200</v>
      </c>
      <c r="C11" s="14" t="n">
        <f aca="false">SUMIFS(الدفتر!$T$5:$T$38,الدفتر!$L$5:$L$38,$B11,الدفتر!$P$5:$P$38,C$3)</f>
        <v>10000</v>
      </c>
      <c r="D11" s="14" t="n">
        <f aca="false">SUMIFS(الدفتر!$T$5:$T$38,الدفتر!$L$5:$L$38,$B11,الدفتر!$P$5:$P$38,D$3)</f>
        <v>10000</v>
      </c>
      <c r="E11" s="14" t="n">
        <f aca="false">SUMIFS(الدفتر!$T$5:$T$38,الدفتر!$L$5:$L$38,$B11,الدفتر!$P$5:$P$38,E$3)</f>
        <v>10000</v>
      </c>
      <c r="F11" s="13" t="n">
        <f aca="false">SUM(C11:E11)</f>
        <v>30000</v>
      </c>
    </row>
    <row r="12" customFormat="false" ht="15" hidden="false" customHeight="false" outlineLevel="0" collapsed="false">
      <c r="A12" s="12" t="s">
        <v>39</v>
      </c>
      <c r="B12" s="12" t="n">
        <v>5210</v>
      </c>
      <c r="C12" s="14" t="n">
        <f aca="false">SUMIFS(الدفتر!$T$5:$T$38,الدفتر!$L$5:$L$38,$B12,الدفتر!$P$5:$P$38,C$3)</f>
        <v>1340</v>
      </c>
      <c r="D12" s="14" t="n">
        <f aca="false">SUMIFS(الدفتر!$T$5:$T$38,الدفتر!$L$5:$L$38,$B12,الدفتر!$P$5:$P$38,D$3)</f>
        <v>1604.34782608696</v>
      </c>
      <c r="E12" s="14" t="n">
        <f aca="false">SUMIFS(الدفتر!$T$5:$T$38,الدفتر!$L$5:$L$38,$B12,الدفتر!$P$5:$P$38,E$3)</f>
        <v>1242.60869565217</v>
      </c>
      <c r="F12" s="13" t="n">
        <f aca="false">SUM(C12:E12)</f>
        <v>4186.95652173913</v>
      </c>
    </row>
    <row r="13" customFormat="false" ht="15" hidden="false" customHeight="false" outlineLevel="0" collapsed="false">
      <c r="A13" s="12" t="s">
        <v>41</v>
      </c>
      <c r="B13" s="12" t="n">
        <v>5220</v>
      </c>
      <c r="C13" s="14" t="n">
        <f aca="false">SUMIFS(الدفتر!$T$5:$T$38,الدفتر!$L$5:$L$38,$B13,الدفتر!$P$5:$P$38,C$3)</f>
        <v>9153.91304347826</v>
      </c>
      <c r="D13" s="14" t="n">
        <f aca="false">SUMIFS(الدفتر!$T$5:$T$38,الدفتر!$L$5:$L$38,$B13,الدفتر!$P$5:$P$38,D$3)</f>
        <v>9442.60869565217</v>
      </c>
      <c r="E13" s="14" t="n">
        <f aca="false">SUMIFS(الدفتر!$T$5:$T$38,الدفتر!$L$5:$L$38,$B13,الدفتر!$P$5:$P$38,E$3)</f>
        <v>7601.73913043478</v>
      </c>
      <c r="F13" s="13" t="n">
        <f aca="false">SUM(C13:E13)</f>
        <v>26198.2608695652</v>
      </c>
    </row>
    <row r="14" customFormat="false" ht="15" hidden="false" customHeight="false" outlineLevel="0" collapsed="false">
      <c r="A14" s="12" t="s">
        <v>44</v>
      </c>
      <c r="B14" s="12" t="n">
        <v>5230</v>
      </c>
      <c r="C14" s="14" t="n">
        <f aca="false">SUMIFS(الدفتر!$T$5:$T$38,الدفتر!$L$5:$L$38,$B14,الدفتر!$P$5:$P$38,C$3)</f>
        <v>0</v>
      </c>
      <c r="D14" s="14" t="n">
        <f aca="false">SUMIFS(الدفتر!$T$5:$T$38,الدفتر!$L$5:$L$38,$B14,الدفتر!$P$5:$P$38,D$3)</f>
        <v>950</v>
      </c>
      <c r="E14" s="14" t="n">
        <f aca="false">SUMIFS(الدفتر!$T$5:$T$38,الدفتر!$L$5:$L$38,$B14,الدفتر!$P$5:$P$38,E$3)</f>
        <v>0</v>
      </c>
      <c r="F14" s="13" t="n">
        <f aca="false">SUM(C14:E14)</f>
        <v>950</v>
      </c>
    </row>
    <row r="15" customFormat="false" ht="15" hidden="false" customHeight="false" outlineLevel="0" collapsed="false">
      <c r="A15" s="12" t="s">
        <v>45</v>
      </c>
      <c r="B15" s="12" t="n">
        <v>5300</v>
      </c>
      <c r="C15" s="14" t="n">
        <f aca="false">SUMIFS(الدفتر!$T$5:$T$38,الدفتر!$L$5:$L$38,$B15,الدفتر!$P$5:$P$38,C$3)</f>
        <v>1527.82608695652</v>
      </c>
      <c r="D15" s="14" t="n">
        <f aca="false">SUMIFS(الدفتر!$T$5:$T$38,الدفتر!$L$5:$L$38,$B15,الدفتر!$P$5:$P$38,D$3)</f>
        <v>1425.21739130435</v>
      </c>
      <c r="E15" s="14" t="n">
        <f aca="false">SUMIFS(الدفتر!$T$5:$T$38,الدفتر!$L$5:$L$38,$B15,الدفتر!$P$5:$P$38,E$3)</f>
        <v>1428.69565217391</v>
      </c>
      <c r="F15" s="13" t="n">
        <f aca="false">SUM(C15:E15)</f>
        <v>4381.73913043478</v>
      </c>
    </row>
    <row r="16" customFormat="false" ht="15" hidden="false" customHeight="false" outlineLevel="0" collapsed="false">
      <c r="A16" s="12" t="s">
        <v>46</v>
      </c>
      <c r="B16" s="12" t="n">
        <v>5400</v>
      </c>
      <c r="C16" s="14" t="n">
        <f aca="false">SUMIFS(الدفتر!$T$5:$T$38,الدفتر!$L$5:$L$38,$B16,الدفتر!$P$5:$P$38,C$3)</f>
        <v>752.173913043478</v>
      </c>
      <c r="D16" s="14" t="n">
        <f aca="false">SUMIFS(الدفتر!$T$5:$T$38,الدفتر!$L$5:$L$38,$B16,الدفتر!$P$5:$P$38,D$3)</f>
        <v>724.347826086957</v>
      </c>
      <c r="E16" s="14" t="n">
        <f aca="false">SUMIFS(الدفتر!$T$5:$T$38,الدفتر!$L$5:$L$38,$B16,الدفتر!$P$5:$P$38,E$3)</f>
        <v>773.913043478261</v>
      </c>
      <c r="F16" s="13" t="n">
        <f aca="false">SUM(C16:E16)</f>
        <v>2250.4347826087</v>
      </c>
    </row>
    <row r="17" customFormat="false" ht="15" hidden="false" customHeight="false" outlineLevel="0" collapsed="false">
      <c r="A17" s="12" t="s">
        <v>47</v>
      </c>
      <c r="B17" s="12" t="n">
        <v>5900</v>
      </c>
      <c r="C17" s="14" t="n">
        <f aca="false">SUMIFS(الدفتر!$T$5:$T$38,الدفتر!$L$5:$L$38,$B17,الدفتر!$P$5:$P$38,C$3)</f>
        <v>3363</v>
      </c>
      <c r="D17" s="14" t="n">
        <f aca="false">SUMIFS(الدفتر!$T$5:$T$38,الدفتر!$L$5:$L$38,$B17,الدفتر!$P$5:$P$38,D$3)</f>
        <v>2631</v>
      </c>
      <c r="E17" s="14" t="n">
        <f aca="false">SUMIFS(الدفتر!$T$5:$T$38,الدفتر!$L$5:$L$38,$B17,الدفتر!$P$5:$P$38,E$3)</f>
        <v>2863</v>
      </c>
      <c r="F17" s="13" t="n">
        <f aca="false">SUM(C17:E17)</f>
        <v>8857</v>
      </c>
    </row>
    <row r="18" customFormat="false" ht="15" hidden="false" customHeight="false" outlineLevel="0" collapsed="false">
      <c r="A18" s="15" t="s">
        <v>72</v>
      </c>
      <c r="B18" s="18"/>
      <c r="C18" s="16" t="n">
        <f aca="false">SUM(C8:C17)</f>
        <v>63321.3130434783</v>
      </c>
      <c r="D18" s="16" t="n">
        <f aca="false">SUM(D8:D17)</f>
        <v>68146.8550724638</v>
      </c>
      <c r="E18" s="16" t="n">
        <f aca="false">SUM(E8:E17)</f>
        <v>65406.1231884058</v>
      </c>
      <c r="F18" s="16" t="n">
        <f aca="false">SUM(F8:F17)</f>
        <v>196874.291304348</v>
      </c>
    </row>
    <row r="20" customFormat="false" ht="15" hidden="false" customHeight="false" outlineLevel="0" collapsed="false">
      <c r="A20" s="22" t="s">
        <v>178</v>
      </c>
      <c r="B20" s="23"/>
      <c r="C20" s="24" t="n">
        <f aca="false">C6-C18</f>
        <v>46227.3826086957</v>
      </c>
      <c r="D20" s="24" t="n">
        <f aca="false">D6-D18</f>
        <v>42634.0144927536</v>
      </c>
      <c r="E20" s="24" t="n">
        <f aca="false">E6-E18</f>
        <v>37565.1811594203</v>
      </c>
      <c r="F20" s="24" t="n">
        <f aca="false">F6-F18</f>
        <v>126426.57826087</v>
      </c>
    </row>
    <row r="21" customFormat="false" ht="15" hidden="false" customHeight="false" outlineLevel="0" collapsed="false">
      <c r="A21" s="6" t="s">
        <v>179</v>
      </c>
      <c r="B21" s="12"/>
      <c r="C21" s="25" t="n">
        <f aca="false">IF(C6=0,0,C20/C6)</f>
        <v>0.421980219239409</v>
      </c>
      <c r="D21" s="25" t="n">
        <f aca="false">IF(D6=0,0,D20/D6)</f>
        <v>0.384849971480452</v>
      </c>
      <c r="E21" s="25" t="n">
        <f aca="false">IF(E6=0,0,E20/E6)</f>
        <v>0.364812132830027</v>
      </c>
      <c r="F21" s="25" t="n">
        <f aca="false">IF(F6=0,0,F20/F6)</f>
        <v>0.39104929854006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6" min="5" style="0" width="15"/>
  </cols>
  <sheetData>
    <row r="1" customFormat="false" ht="30" hidden="false" customHeight="true" outlineLevel="0" collapsed="false">
      <c r="A1" s="1" t="s">
        <v>180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181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182</v>
      </c>
      <c r="B4" s="3" t="s">
        <v>183</v>
      </c>
      <c r="C4" s="3" t="s">
        <v>125</v>
      </c>
      <c r="D4" s="3" t="s">
        <v>184</v>
      </c>
      <c r="E4" s="3" t="s">
        <v>126</v>
      </c>
      <c r="F4" s="3" t="s">
        <v>185</v>
      </c>
    </row>
    <row r="5" customFormat="false" ht="15" hidden="false" customHeight="false" outlineLevel="0" collapsed="false">
      <c r="A5" s="6" t="s">
        <v>86</v>
      </c>
      <c r="B5" s="14" t="n">
        <f aca="false">SUMIFS(الدفتر!$F$5:$F$38,الدفتر!$I$5:$I$38,1,الدفتر!$P$5:$P$38,7)</f>
        <v>125981</v>
      </c>
      <c r="C5" s="14" t="n">
        <f aca="false">SUMIFS(الدفتر!$R$5:$R$38,الدفتر!$P$5:$P$38,7)</f>
        <v>16432.3043478261</v>
      </c>
      <c r="D5" s="14" t="n">
        <f aca="false">SUMIFS(الدفتر!$G$5:$G$38,الدفتر!$I$5:$I$38,1,الدفتر!$P$5:$P$38,7)</f>
        <v>26190</v>
      </c>
      <c r="E5" s="14" t="n">
        <f aca="false">SUMIFS(الدفتر!$S$5:$S$38,الدفتر!$P$5:$P$38,7)</f>
        <v>3416.08695652174</v>
      </c>
      <c r="F5" s="13" t="n">
        <f aca="false">C5-E5</f>
        <v>13016.2173913043</v>
      </c>
    </row>
    <row r="6" customFormat="false" ht="15" hidden="false" customHeight="false" outlineLevel="0" collapsed="false">
      <c r="A6" s="6" t="s">
        <v>93</v>
      </c>
      <c r="B6" s="14" t="n">
        <f aca="false">SUMIFS(الدفتر!$F$5:$F$38,الدفتر!$I$5:$I$38,1,الدفتر!$P$5:$P$38,8)</f>
        <v>127398</v>
      </c>
      <c r="C6" s="14" t="n">
        <f aca="false">SUMIFS(الدفتر!$R$5:$R$38,الدفتر!$P$5:$P$38,8)</f>
        <v>16617.1304347826</v>
      </c>
      <c r="D6" s="14" t="n">
        <f aca="false">SUMIFS(الدفتر!$G$5:$G$38,الدفتر!$I$5:$I$38,1,الدفتر!$P$5:$P$38,8)</f>
        <v>26676</v>
      </c>
      <c r="E6" s="14" t="n">
        <f aca="false">SUMIFS(الدفتر!$S$5:$S$38,الدفتر!$P$5:$P$38,8)</f>
        <v>3479.47826086957</v>
      </c>
      <c r="F6" s="13" t="n">
        <f aca="false">C6-E6</f>
        <v>13137.652173913</v>
      </c>
    </row>
    <row r="7" customFormat="false" ht="15" hidden="false" customHeight="false" outlineLevel="0" collapsed="false">
      <c r="A7" s="6" t="s">
        <v>94</v>
      </c>
      <c r="B7" s="14" t="n">
        <f aca="false">SUMIFS(الدفتر!$F$5:$F$38,الدفتر!$I$5:$I$38,1,الدفتر!$P$5:$P$38,9)</f>
        <v>118417</v>
      </c>
      <c r="C7" s="14" t="n">
        <f aca="false">SUMIFS(الدفتر!$R$5:$R$38,الدفتر!$P$5:$P$38,9)</f>
        <v>15445.6956521739</v>
      </c>
      <c r="D7" s="14" t="n">
        <f aca="false">SUMIFS(الدفتر!$G$5:$G$38,الدفتر!$I$5:$I$38,1,الدفتر!$P$5:$P$38,9)</f>
        <v>24204</v>
      </c>
      <c r="E7" s="14" t="n">
        <f aca="false">SUMIFS(الدفتر!$S$5:$S$38,الدفتر!$P$5:$P$38,9)</f>
        <v>3157.04347826087</v>
      </c>
      <c r="F7" s="13" t="n">
        <f aca="false">C7-E7</f>
        <v>12288.652173913</v>
      </c>
    </row>
    <row r="8" customFormat="false" ht="15" hidden="false" customHeight="false" outlineLevel="0" collapsed="false">
      <c r="A8" s="15" t="s">
        <v>186</v>
      </c>
      <c r="B8" s="16" t="n">
        <f aca="false">SUM(B5:B7)</f>
        <v>371796</v>
      </c>
      <c r="C8" s="16" t="n">
        <f aca="false">SUM(C5:C7)</f>
        <v>48495.1304347826</v>
      </c>
      <c r="D8" s="16" t="n">
        <f aca="false">SUM(D5:D7)</f>
        <v>77070</v>
      </c>
      <c r="E8" s="16" t="n">
        <f aca="false">SUM(E5:E7)</f>
        <v>10052.6086956522</v>
      </c>
      <c r="F8" s="16" t="n">
        <f aca="false">SUM(F5:F7)</f>
        <v>38442.5217391304</v>
      </c>
    </row>
    <row r="10" customFormat="false" ht="31.5" hidden="false" customHeight="true" outlineLevel="0" collapsed="false">
      <c r="A10" s="3" t="s">
        <v>187</v>
      </c>
      <c r="B10" s="3" t="s">
        <v>188</v>
      </c>
      <c r="C10" s="3" t="s">
        <v>189</v>
      </c>
      <c r="D10" s="3" t="s">
        <v>190</v>
      </c>
      <c r="E10" s="3" t="s">
        <v>83</v>
      </c>
    </row>
    <row r="11" customFormat="false" ht="15" hidden="false" customHeight="false" outlineLevel="0" collapsed="false">
      <c r="A11" s="6" t="s">
        <v>165</v>
      </c>
      <c r="B11" s="13" t="n">
        <f aca="false">F8</f>
        <v>38442.5217391304</v>
      </c>
      <c r="C11" s="14" t="n">
        <f aca="false">SUMIFS(الدفتر!$G$5:$G$38,الدفتر!$L$5:$L$38,2300,الدفتر!$J$5:$J$38,A11)</f>
        <v>6000</v>
      </c>
      <c r="D11" s="26" t="n">
        <f aca="false">B11-C11</f>
        <v>32442.5217391304</v>
      </c>
      <c r="E11" s="12" t="str">
        <f aca="false">IF(D11&lt;=0,"مسدد بالكامل","سداد جزئي — التزام قائم")</f>
        <v>سداد جزئي — التزام قائم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5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191</v>
      </c>
      <c r="B1" s="1"/>
      <c r="C1" s="1"/>
      <c r="D1" s="1"/>
      <c r="E1" s="1"/>
    </row>
    <row r="2" customFormat="false" ht="15" hidden="false" customHeight="true" outlineLevel="0" collapsed="false">
      <c r="A2" s="2" t="s">
        <v>192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193</v>
      </c>
      <c r="B4" s="3" t="s">
        <v>194</v>
      </c>
      <c r="C4" s="3" t="s">
        <v>195</v>
      </c>
      <c r="D4" s="3" t="s">
        <v>196</v>
      </c>
      <c r="E4" s="3" t="s">
        <v>197</v>
      </c>
    </row>
    <row r="5" customFormat="false" ht="15" hidden="false" customHeight="false" outlineLevel="0" collapsed="false">
      <c r="A5" s="6" t="s">
        <v>198</v>
      </c>
      <c r="B5" s="14" t="n">
        <f aca="false">SUM(اليومية!V5:V96)</f>
        <v>371796</v>
      </c>
      <c r="C5" s="14" t="n">
        <f aca="false">SUMIFS(الدفتر!$F$5:$F$38,الدفتر!$L$5:$L$38,4100)</f>
        <v>371796</v>
      </c>
      <c r="D5" s="14" t="n">
        <f aca="false">B5-C5</f>
        <v>0</v>
      </c>
      <c r="E5" s="6" t="str">
        <f aca="false">IF(ABS(D5)&lt;0.01,"✓ سليم","⚠ راجع")</f>
        <v>✓ سليم</v>
      </c>
    </row>
    <row r="6" customFormat="false" ht="15" hidden="false" customHeight="false" outlineLevel="0" collapsed="false">
      <c r="A6" s="6" t="s">
        <v>199</v>
      </c>
      <c r="B6" s="14" t="n">
        <f aca="false">SUM(الرواتب!L5:L22)-SUM(الرواتب!N5:N22)</f>
        <v>115169.9</v>
      </c>
      <c r="C6" s="14" t="n">
        <f aca="false">SUMIFS(الدفتر!$G$5:$G$38,الدفتر!$L$5:$L$38,5100)+SUMIFS(الدفتر!$G$5:$G$38,الدفتر!$L$5:$L$38,5110)</f>
        <v>115169.9</v>
      </c>
      <c r="D6" s="14" t="n">
        <f aca="false">B6-C6</f>
        <v>0</v>
      </c>
      <c r="E6" s="6" t="str">
        <f aca="false">IF(ABS(D6)&lt;0.01,"✓ سليم","⚠ راجع")</f>
        <v>✓ سليم</v>
      </c>
    </row>
    <row r="7" customFormat="false" ht="15" hidden="false" customHeight="false" outlineLevel="0" collapsed="false">
      <c r="A7" s="6" t="s">
        <v>200</v>
      </c>
      <c r="B7" s="14" t="n">
        <f aca="false">SUM(اليومية!P5:P96)</f>
        <v>15857</v>
      </c>
      <c r="C7" s="14" t="n">
        <f aca="false">SUM(الرواتب!O5:O22)+SUMIFS(الدفتر!$G$5:$G$38,الدفتر!$L$5:$L$38,5900)</f>
        <v>15857</v>
      </c>
      <c r="D7" s="14" t="n">
        <f aca="false">B7-C7</f>
        <v>0</v>
      </c>
      <c r="E7" s="6" t="str">
        <f aca="false">IF(ABS(D7)&lt;0.01,"✓ سليم","⚠ راجع")</f>
        <v>✓ سليم</v>
      </c>
    </row>
    <row r="8" customFormat="false" ht="15" hidden="false" customHeight="false" outlineLevel="0" collapsed="false">
      <c r="A8" s="6" t="s">
        <v>201</v>
      </c>
      <c r="B8" s="14" t="n">
        <f aca="false">COUNTIF(الدفتر!$L$5:$L$38,"غير معرف")</f>
        <v>0</v>
      </c>
      <c r="C8" s="14" t="n">
        <f aca="false">0</f>
        <v>0</v>
      </c>
      <c r="D8" s="14" t="n">
        <f aca="false">B8-C8</f>
        <v>0</v>
      </c>
      <c r="E8" s="6" t="str">
        <f aca="false">IF(ABS(D8)&lt;0.01,"✓ سليم","⚠ راجع")</f>
        <v>✓ سليم</v>
      </c>
    </row>
    <row r="9" customFormat="false" ht="15" hidden="false" customHeight="false" outlineLevel="0" collapsed="false">
      <c r="A9" s="6" t="s">
        <v>202</v>
      </c>
      <c r="B9" s="14" t="n">
        <f aca="false">'قائمة الدخل'!F20</f>
        <v>126426.57826087</v>
      </c>
      <c r="C9" s="14" t="n">
        <f aca="false">SUMIFS(الدفتر!$T$5:$T$38,الدفتر!$N$5:$N$38,"إيراد")-SUMIFS(الدفتر!$T$5:$T$38,الدفتر!$N$5:$N$38,"مصروف")</f>
        <v>126426.57826087</v>
      </c>
      <c r="D9" s="14" t="n">
        <f aca="false">B9-C9</f>
        <v>0</v>
      </c>
      <c r="E9" s="6" t="str">
        <f aca="false">IF(ABS(D9)&lt;0.01,"✓ سليم","⚠ راجع")</f>
        <v>✓ سليم</v>
      </c>
    </row>
    <row r="10" customFormat="false" ht="15" hidden="false" customHeight="false" outlineLevel="0" collapsed="false">
      <c r="A10" s="6" t="s">
        <v>203</v>
      </c>
      <c r="B10" s="14" t="n">
        <f aca="false">الضريبة!F8</f>
        <v>38442.5217391304</v>
      </c>
      <c r="C10" s="14" t="n">
        <f aca="false">SUM(الدفتر!$R$5:$R$38)-SUM(الدفتر!$S$5:$S$38)</f>
        <v>38442.5217391304</v>
      </c>
      <c r="D10" s="14" t="n">
        <f aca="false">B10-C10</f>
        <v>0</v>
      </c>
      <c r="E10" s="6" t="str">
        <f aca="false">IF(ABS(D10)&lt;0.01,"✓ سليم","⚠ راجع")</f>
        <v>✓ سليم</v>
      </c>
    </row>
    <row r="11" customFormat="false" ht="15" hidden="false" customHeight="false" outlineLevel="0" collapsed="false">
      <c r="A11" s="6" t="s">
        <v>204</v>
      </c>
      <c r="B11" s="14" t="n">
        <f aca="false">COUNTIF(اليومية!AA5:AA96,"&lt;&gt;مطابق")</f>
        <v>19</v>
      </c>
      <c r="C11" s="14" t="n">
        <f aca="false">0</f>
        <v>0</v>
      </c>
      <c r="D11" s="14" t="n">
        <f aca="false">B11-C11</f>
        <v>19</v>
      </c>
      <c r="E11" s="6" t="str">
        <f aca="false">IF(ABS(D11)&lt;0.01,"✓ سليم","⚠ راجع")</f>
        <v>⚠ راجع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2026-10-27T12:32:47Z</dcterms:created>
  <dc:creator>openpyxl</dc:creator>
  <dc:description/>
  <dc:language>en-US</dc:language>
  <cp:lastModifiedBy/>
  <dcterms:modified xsi:type="dcterms:W3CDTF">2026-10-27T12:32:48Z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